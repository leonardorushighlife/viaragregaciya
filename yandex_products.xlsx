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-fs.mk.corp\Profiles$\alv\Downloads\"/>
    </mc:Choice>
  </mc:AlternateContent>
  <xr:revisionPtr revIDLastSave="0" documentId="8_{A411AD34-8834-46AA-9CEA-CC0B983117B6}" xr6:coauthVersionLast="47" xr6:coauthVersionMax="47" xr10:uidLastSave="{00000000-0000-0000-0000-000000000000}"/>
  <bookViews>
    <workbookView xWindow="-120" yWindow="-120" windowWidth="29040" windowHeight="15720" xr2:uid="{8488BC19-2ECE-4678-BB51-558D095B6C2C}"/>
  </bookViews>
  <sheets>
    <sheet name="Товары" sheetId="2" r:id="rId1"/>
    <sheet name="Лист1" sheetId="1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06" i="2" l="1"/>
  <c r="V106" i="2"/>
  <c r="T106" i="2"/>
  <c r="S106" i="2"/>
  <c r="I106" i="2"/>
  <c r="H106" i="2"/>
  <c r="F106" i="2"/>
  <c r="E106" i="2"/>
  <c r="D106" i="2"/>
  <c r="C106" i="2"/>
  <c r="B106" i="2"/>
  <c r="Y105" i="2"/>
  <c r="V105" i="2"/>
  <c r="T105" i="2"/>
  <c r="S105" i="2"/>
  <c r="I105" i="2"/>
  <c r="H105" i="2"/>
  <c r="F105" i="2"/>
  <c r="E105" i="2"/>
  <c r="D105" i="2"/>
  <c r="C105" i="2"/>
  <c r="Y104" i="2"/>
  <c r="V104" i="2"/>
  <c r="T104" i="2"/>
  <c r="S104" i="2"/>
  <c r="I104" i="2"/>
  <c r="H104" i="2"/>
  <c r="F104" i="2"/>
  <c r="E104" i="2"/>
  <c r="D104" i="2"/>
  <c r="C104" i="2"/>
  <c r="Y103" i="2"/>
  <c r="V103" i="2"/>
  <c r="T103" i="2"/>
  <c r="S103" i="2"/>
  <c r="I103" i="2"/>
  <c r="H103" i="2"/>
  <c r="F103" i="2"/>
  <c r="E103" i="2"/>
  <c r="D103" i="2"/>
  <c r="C103" i="2"/>
  <c r="B103" i="2"/>
  <c r="Y102" i="2"/>
  <c r="V102" i="2"/>
  <c r="T102" i="2"/>
  <c r="S102" i="2"/>
  <c r="I102" i="2"/>
  <c r="H102" i="2"/>
  <c r="F102" i="2"/>
  <c r="E102" i="2"/>
  <c r="D102" i="2"/>
  <c r="C102" i="2"/>
  <c r="Y101" i="2"/>
  <c r="V101" i="2"/>
  <c r="T101" i="2"/>
  <c r="S101" i="2"/>
  <c r="I101" i="2"/>
  <c r="H101" i="2"/>
  <c r="F101" i="2"/>
  <c r="E101" i="2"/>
  <c r="D101" i="2"/>
  <c r="C101" i="2"/>
  <c r="Y100" i="2"/>
  <c r="V100" i="2"/>
  <c r="T100" i="2"/>
  <c r="S100" i="2"/>
  <c r="I100" i="2"/>
  <c r="H100" i="2"/>
  <c r="F100" i="2"/>
  <c r="E100" i="2"/>
  <c r="D100" i="2"/>
  <c r="C100" i="2"/>
  <c r="Y99" i="2"/>
  <c r="V99" i="2"/>
  <c r="T99" i="2"/>
  <c r="S99" i="2"/>
  <c r="I99" i="2"/>
  <c r="H99" i="2"/>
  <c r="F99" i="2"/>
  <c r="E99" i="2"/>
  <c r="D99" i="2"/>
  <c r="C99" i="2"/>
  <c r="Y98" i="2"/>
  <c r="V98" i="2"/>
  <c r="T98" i="2"/>
  <c r="S98" i="2"/>
  <c r="M98" i="2"/>
  <c r="I98" i="2"/>
  <c r="H98" i="2"/>
  <c r="F98" i="2"/>
  <c r="E98" i="2"/>
  <c r="D98" i="2"/>
  <c r="C98" i="2"/>
  <c r="Y97" i="2"/>
  <c r="V97" i="2"/>
  <c r="T97" i="2"/>
  <c r="S97" i="2"/>
  <c r="I97" i="2"/>
  <c r="H97" i="2"/>
  <c r="F97" i="2"/>
  <c r="E97" i="2"/>
  <c r="D97" i="2"/>
  <c r="C97" i="2"/>
  <c r="Y96" i="2"/>
  <c r="V96" i="2"/>
  <c r="T96" i="2"/>
  <c r="S96" i="2"/>
  <c r="M96" i="2"/>
  <c r="I96" i="2"/>
  <c r="H96" i="2"/>
  <c r="F96" i="2"/>
  <c r="E96" i="2"/>
  <c r="D96" i="2"/>
  <c r="C96" i="2"/>
  <c r="B96" i="2"/>
  <c r="Y95" i="2"/>
  <c r="V95" i="2"/>
  <c r="S95" i="2"/>
  <c r="M95" i="2"/>
  <c r="I95" i="2"/>
  <c r="H95" i="2"/>
  <c r="F95" i="2"/>
  <c r="E95" i="2"/>
  <c r="D95" i="2"/>
  <c r="C95" i="2"/>
  <c r="B95" i="2"/>
  <c r="Y94" i="2"/>
  <c r="V94" i="2"/>
  <c r="T94" i="2"/>
  <c r="S94" i="2"/>
  <c r="I94" i="2"/>
  <c r="H94" i="2"/>
  <c r="F94" i="2"/>
  <c r="E94" i="2"/>
  <c r="D94" i="2"/>
  <c r="C94" i="2"/>
  <c r="B94" i="2"/>
  <c r="Y93" i="2"/>
  <c r="V93" i="2"/>
  <c r="T93" i="2"/>
  <c r="S93" i="2"/>
  <c r="I93" i="2"/>
  <c r="H93" i="2"/>
  <c r="F93" i="2"/>
  <c r="E93" i="2"/>
  <c r="D93" i="2"/>
  <c r="C93" i="2"/>
  <c r="B93" i="2"/>
  <c r="Y92" i="2"/>
  <c r="V92" i="2"/>
  <c r="T92" i="2"/>
  <c r="S92" i="2"/>
  <c r="I92" i="2"/>
  <c r="H92" i="2"/>
  <c r="F92" i="2"/>
  <c r="E92" i="2"/>
  <c r="D92" i="2"/>
  <c r="C92" i="2"/>
  <c r="B92" i="2"/>
  <c r="Y91" i="2"/>
  <c r="V91" i="2"/>
  <c r="T91" i="2"/>
  <c r="S91" i="2"/>
  <c r="I91" i="2"/>
  <c r="H91" i="2"/>
  <c r="F91" i="2"/>
  <c r="E91" i="2"/>
  <c r="D91" i="2"/>
  <c r="C91" i="2"/>
  <c r="B91" i="2"/>
  <c r="Y90" i="2"/>
  <c r="V90" i="2"/>
  <c r="T90" i="2"/>
  <c r="S90" i="2"/>
  <c r="I90" i="2"/>
  <c r="H90" i="2"/>
  <c r="F90" i="2"/>
  <c r="E90" i="2"/>
  <c r="D90" i="2"/>
  <c r="C90" i="2"/>
  <c r="B90" i="2"/>
  <c r="Y89" i="2"/>
  <c r="V89" i="2"/>
  <c r="T89" i="2"/>
  <c r="S89" i="2"/>
  <c r="I89" i="2"/>
  <c r="H89" i="2"/>
  <c r="F89" i="2"/>
  <c r="E89" i="2"/>
  <c r="D89" i="2"/>
  <c r="C89" i="2"/>
  <c r="B89" i="2"/>
  <c r="Y88" i="2"/>
  <c r="V88" i="2"/>
  <c r="T88" i="2"/>
  <c r="S88" i="2"/>
  <c r="I88" i="2"/>
  <c r="H88" i="2"/>
  <c r="F88" i="2"/>
  <c r="E88" i="2"/>
  <c r="D88" i="2"/>
  <c r="C88" i="2"/>
  <c r="B88" i="2"/>
  <c r="Y87" i="2"/>
  <c r="V87" i="2"/>
  <c r="T87" i="2"/>
  <c r="S87" i="2"/>
  <c r="I87" i="2"/>
  <c r="H87" i="2"/>
  <c r="F87" i="2"/>
  <c r="E87" i="2"/>
  <c r="D87" i="2"/>
  <c r="C87" i="2"/>
  <c r="B87" i="2"/>
  <c r="Y86" i="2"/>
  <c r="V86" i="2"/>
  <c r="T86" i="2"/>
  <c r="S86" i="2"/>
  <c r="I86" i="2"/>
  <c r="H86" i="2"/>
  <c r="F86" i="2"/>
  <c r="E86" i="2"/>
  <c r="D86" i="2"/>
  <c r="C86" i="2"/>
  <c r="B86" i="2"/>
  <c r="Y85" i="2"/>
  <c r="V85" i="2"/>
  <c r="T85" i="2"/>
  <c r="S85" i="2"/>
  <c r="I85" i="2"/>
  <c r="H85" i="2"/>
  <c r="F85" i="2"/>
  <c r="E85" i="2"/>
  <c r="D85" i="2"/>
  <c r="C85" i="2"/>
  <c r="B85" i="2"/>
  <c r="A85" i="2"/>
  <c r="Y84" i="2"/>
  <c r="V84" i="2"/>
  <c r="T84" i="2"/>
  <c r="S84" i="2"/>
  <c r="I84" i="2"/>
  <c r="H84" i="2"/>
  <c r="F84" i="2"/>
  <c r="E84" i="2"/>
  <c r="D84" i="2"/>
  <c r="C84" i="2"/>
  <c r="B84" i="2"/>
  <c r="A84" i="2"/>
  <c r="Y83" i="2"/>
  <c r="V83" i="2"/>
  <c r="T83" i="2"/>
  <c r="S83" i="2"/>
  <c r="I83" i="2"/>
  <c r="H83" i="2"/>
  <c r="F83" i="2"/>
  <c r="E83" i="2"/>
  <c r="D83" i="2"/>
  <c r="C83" i="2"/>
  <c r="B83" i="2"/>
  <c r="A83" i="2"/>
  <c r="Y82" i="2"/>
  <c r="V82" i="2"/>
  <c r="T82" i="2"/>
  <c r="S82" i="2"/>
  <c r="I82" i="2"/>
  <c r="H82" i="2"/>
  <c r="F82" i="2"/>
  <c r="E82" i="2"/>
  <c r="D82" i="2"/>
  <c r="C82" i="2"/>
  <c r="B82" i="2"/>
  <c r="A82" i="2"/>
  <c r="Y81" i="2"/>
  <c r="V81" i="2"/>
  <c r="T81" i="2"/>
  <c r="S81" i="2"/>
  <c r="I81" i="2"/>
  <c r="H81" i="2"/>
  <c r="F81" i="2"/>
  <c r="E81" i="2"/>
  <c r="D81" i="2"/>
  <c r="C81" i="2"/>
  <c r="B81" i="2"/>
  <c r="A81" i="2"/>
  <c r="Y80" i="2"/>
  <c r="V80" i="2"/>
  <c r="T80" i="2"/>
  <c r="S80" i="2"/>
  <c r="I80" i="2"/>
  <c r="H80" i="2"/>
  <c r="F80" i="2"/>
  <c r="E80" i="2"/>
  <c r="D80" i="2"/>
  <c r="C80" i="2"/>
  <c r="B80" i="2"/>
  <c r="A80" i="2"/>
  <c r="Y79" i="2"/>
  <c r="V79" i="2"/>
  <c r="T79" i="2"/>
  <c r="S79" i="2"/>
  <c r="I79" i="2"/>
  <c r="H79" i="2"/>
  <c r="F79" i="2"/>
  <c r="E79" i="2"/>
  <c r="D79" i="2"/>
  <c r="C79" i="2"/>
  <c r="B79" i="2"/>
  <c r="A79" i="2"/>
  <c r="Y78" i="2"/>
  <c r="V78" i="2"/>
  <c r="T78" i="2"/>
  <c r="S78" i="2"/>
  <c r="I78" i="2"/>
  <c r="H78" i="2"/>
  <c r="F78" i="2"/>
  <c r="E78" i="2"/>
  <c r="D78" i="2"/>
  <c r="C78" i="2"/>
  <c r="B78" i="2"/>
  <c r="A78" i="2"/>
  <c r="Y77" i="2"/>
  <c r="V77" i="2"/>
  <c r="T77" i="2"/>
  <c r="S77" i="2"/>
  <c r="I77" i="2"/>
  <c r="H77" i="2"/>
  <c r="F77" i="2"/>
  <c r="E77" i="2"/>
  <c r="D77" i="2"/>
  <c r="C77" i="2"/>
  <c r="B77" i="2"/>
  <c r="Y76" i="2"/>
  <c r="V76" i="2"/>
  <c r="T76" i="2"/>
  <c r="S76" i="2"/>
  <c r="I76" i="2"/>
  <c r="H76" i="2"/>
  <c r="F76" i="2"/>
  <c r="E76" i="2"/>
  <c r="D76" i="2"/>
  <c r="C76" i="2"/>
  <c r="B76" i="2"/>
  <c r="Y75" i="2"/>
  <c r="V75" i="2"/>
  <c r="T75" i="2"/>
  <c r="S75" i="2"/>
  <c r="I75" i="2"/>
  <c r="H75" i="2"/>
  <c r="F75" i="2"/>
  <c r="E75" i="2"/>
  <c r="D75" i="2"/>
  <c r="C75" i="2"/>
  <c r="B75" i="2"/>
  <c r="Y74" i="2"/>
  <c r="V74" i="2"/>
  <c r="T74" i="2"/>
  <c r="S74" i="2"/>
  <c r="I74" i="2"/>
  <c r="H74" i="2"/>
  <c r="F74" i="2"/>
  <c r="E74" i="2"/>
  <c r="D74" i="2"/>
  <c r="C74" i="2"/>
  <c r="B74" i="2"/>
  <c r="Y73" i="2"/>
  <c r="V73" i="2"/>
  <c r="T73" i="2"/>
  <c r="S73" i="2"/>
  <c r="I73" i="2"/>
  <c r="H73" i="2"/>
  <c r="F73" i="2"/>
  <c r="E73" i="2"/>
  <c r="D73" i="2"/>
  <c r="C73" i="2"/>
  <c r="B73" i="2"/>
  <c r="Y72" i="2"/>
  <c r="V72" i="2"/>
  <c r="T72" i="2"/>
  <c r="S72" i="2"/>
  <c r="I72" i="2"/>
  <c r="H72" i="2"/>
  <c r="F72" i="2"/>
  <c r="E72" i="2"/>
  <c r="D72" i="2"/>
  <c r="C72" i="2"/>
  <c r="B72" i="2"/>
  <c r="Y71" i="2"/>
  <c r="V71" i="2"/>
  <c r="T71" i="2"/>
  <c r="S71" i="2"/>
  <c r="I71" i="2"/>
  <c r="H71" i="2"/>
  <c r="F71" i="2"/>
  <c r="E71" i="2"/>
  <c r="D71" i="2"/>
  <c r="C71" i="2"/>
  <c r="B71" i="2"/>
  <c r="Y70" i="2"/>
  <c r="V70" i="2"/>
  <c r="T70" i="2"/>
  <c r="S70" i="2"/>
  <c r="I70" i="2"/>
  <c r="H70" i="2"/>
  <c r="F70" i="2"/>
  <c r="E70" i="2"/>
  <c r="D70" i="2"/>
  <c r="C70" i="2"/>
  <c r="B70" i="2"/>
  <c r="Y69" i="2"/>
  <c r="V69" i="2"/>
  <c r="T69" i="2"/>
  <c r="S69" i="2"/>
  <c r="I69" i="2"/>
  <c r="H69" i="2"/>
  <c r="F69" i="2"/>
  <c r="E69" i="2"/>
  <c r="D69" i="2"/>
  <c r="C69" i="2"/>
  <c r="B69" i="2"/>
  <c r="Y68" i="2"/>
  <c r="V68" i="2"/>
  <c r="T68" i="2"/>
  <c r="S68" i="2"/>
  <c r="I68" i="2"/>
  <c r="H68" i="2"/>
  <c r="F68" i="2"/>
  <c r="E68" i="2"/>
  <c r="D68" i="2"/>
  <c r="C68" i="2"/>
  <c r="B68" i="2"/>
  <c r="Y67" i="2"/>
  <c r="V67" i="2"/>
  <c r="T67" i="2"/>
  <c r="S67" i="2"/>
  <c r="I67" i="2"/>
  <c r="H67" i="2"/>
  <c r="F67" i="2"/>
  <c r="E67" i="2"/>
  <c r="D67" i="2"/>
  <c r="C67" i="2"/>
  <c r="B67" i="2"/>
  <c r="Y66" i="2"/>
  <c r="V66" i="2"/>
  <c r="T66" i="2"/>
  <c r="S66" i="2"/>
  <c r="I66" i="2"/>
  <c r="H66" i="2"/>
  <c r="F66" i="2"/>
  <c r="E66" i="2"/>
  <c r="D66" i="2"/>
  <c r="C66" i="2"/>
  <c r="B66" i="2"/>
  <c r="Y65" i="2"/>
  <c r="V65" i="2"/>
  <c r="T65" i="2"/>
  <c r="S65" i="2"/>
  <c r="I65" i="2"/>
  <c r="H65" i="2"/>
  <c r="F65" i="2"/>
  <c r="E65" i="2"/>
  <c r="D65" i="2"/>
  <c r="C65" i="2"/>
  <c r="B65" i="2"/>
  <c r="Y64" i="2"/>
  <c r="V64" i="2"/>
  <c r="T64" i="2"/>
  <c r="S64" i="2"/>
  <c r="I64" i="2"/>
  <c r="H64" i="2"/>
  <c r="F64" i="2"/>
  <c r="E64" i="2"/>
  <c r="D64" i="2"/>
  <c r="C64" i="2"/>
  <c r="B64" i="2"/>
  <c r="Y63" i="2"/>
  <c r="V63" i="2"/>
  <c r="T63" i="2"/>
  <c r="S63" i="2"/>
  <c r="I63" i="2"/>
  <c r="H63" i="2"/>
  <c r="F63" i="2"/>
  <c r="E63" i="2"/>
  <c r="D63" i="2"/>
  <c r="C63" i="2"/>
  <c r="B63" i="2"/>
  <c r="Y62" i="2"/>
  <c r="V62" i="2"/>
  <c r="T62" i="2"/>
  <c r="S62" i="2"/>
  <c r="I62" i="2"/>
  <c r="H62" i="2"/>
  <c r="F62" i="2"/>
  <c r="E62" i="2"/>
  <c r="D62" i="2"/>
  <c r="C62" i="2"/>
  <c r="B62" i="2"/>
  <c r="Y61" i="2"/>
  <c r="V61" i="2"/>
  <c r="T61" i="2"/>
  <c r="S61" i="2"/>
  <c r="I61" i="2"/>
  <c r="H61" i="2"/>
  <c r="F61" i="2"/>
  <c r="E61" i="2"/>
  <c r="D61" i="2"/>
  <c r="C61" i="2"/>
  <c r="B61" i="2"/>
  <c r="Y60" i="2"/>
  <c r="V60" i="2"/>
  <c r="T60" i="2"/>
  <c r="S60" i="2"/>
  <c r="M60" i="2"/>
  <c r="I60" i="2"/>
  <c r="H60" i="2"/>
  <c r="F60" i="2"/>
  <c r="E60" i="2"/>
  <c r="D60" i="2"/>
  <c r="C60" i="2"/>
  <c r="B60" i="2"/>
  <c r="Y59" i="2"/>
  <c r="V59" i="2"/>
  <c r="T59" i="2"/>
  <c r="S59" i="2"/>
  <c r="I59" i="2"/>
  <c r="H59" i="2"/>
  <c r="F59" i="2"/>
  <c r="E59" i="2"/>
  <c r="D59" i="2"/>
  <c r="C59" i="2"/>
  <c r="B59" i="2"/>
  <c r="Y58" i="2"/>
  <c r="V58" i="2"/>
  <c r="T58" i="2"/>
  <c r="S58" i="2"/>
  <c r="I58" i="2"/>
  <c r="H58" i="2"/>
  <c r="F58" i="2"/>
  <c r="E58" i="2"/>
  <c r="D58" i="2"/>
  <c r="C58" i="2"/>
  <c r="B58" i="2"/>
  <c r="Y57" i="2"/>
  <c r="V57" i="2"/>
  <c r="T57" i="2"/>
  <c r="S57" i="2"/>
  <c r="I57" i="2"/>
  <c r="H57" i="2"/>
  <c r="F57" i="2"/>
  <c r="E57" i="2"/>
  <c r="D57" i="2"/>
  <c r="C57" i="2"/>
  <c r="B57" i="2"/>
  <c r="Y56" i="2"/>
  <c r="V56" i="2"/>
  <c r="T56" i="2"/>
  <c r="S56" i="2"/>
  <c r="I56" i="2"/>
  <c r="H56" i="2"/>
  <c r="F56" i="2"/>
  <c r="E56" i="2"/>
  <c r="D56" i="2"/>
  <c r="C56" i="2"/>
  <c r="B56" i="2"/>
  <c r="Y55" i="2"/>
  <c r="V55" i="2"/>
  <c r="T55" i="2"/>
  <c r="S55" i="2"/>
  <c r="I55" i="2"/>
  <c r="H55" i="2"/>
  <c r="F55" i="2"/>
  <c r="E55" i="2"/>
  <c r="D55" i="2"/>
  <c r="C55" i="2"/>
  <c r="B55" i="2"/>
  <c r="Y54" i="2"/>
  <c r="V54" i="2"/>
  <c r="T54" i="2"/>
  <c r="S54" i="2"/>
  <c r="I54" i="2"/>
  <c r="H54" i="2"/>
  <c r="F54" i="2"/>
  <c r="E54" i="2"/>
  <c r="D54" i="2"/>
  <c r="C54" i="2"/>
  <c r="Y53" i="2"/>
  <c r="V53" i="2"/>
  <c r="T53" i="2"/>
  <c r="S53" i="2"/>
  <c r="I53" i="2"/>
  <c r="H53" i="2"/>
  <c r="F53" i="2"/>
  <c r="E53" i="2"/>
  <c r="D53" i="2"/>
  <c r="C53" i="2"/>
  <c r="Y52" i="2"/>
  <c r="V52" i="2"/>
  <c r="T52" i="2"/>
  <c r="S52" i="2"/>
  <c r="I52" i="2"/>
  <c r="H52" i="2"/>
  <c r="F52" i="2"/>
  <c r="E52" i="2"/>
  <c r="D52" i="2"/>
  <c r="C52" i="2"/>
  <c r="B52" i="2"/>
  <c r="Y51" i="2"/>
  <c r="V51" i="2"/>
  <c r="T51" i="2"/>
  <c r="S51" i="2"/>
  <c r="I51" i="2"/>
  <c r="H51" i="2"/>
  <c r="F51" i="2"/>
  <c r="E51" i="2"/>
  <c r="D51" i="2"/>
  <c r="C51" i="2"/>
  <c r="B51" i="2"/>
  <c r="Y50" i="2"/>
  <c r="V50" i="2"/>
  <c r="T50" i="2"/>
  <c r="S50" i="2"/>
  <c r="I50" i="2"/>
  <c r="H50" i="2"/>
  <c r="F50" i="2"/>
  <c r="E50" i="2"/>
  <c r="D50" i="2"/>
  <c r="C50" i="2"/>
  <c r="B50" i="2"/>
  <c r="Y49" i="2"/>
  <c r="V49" i="2"/>
  <c r="T49" i="2"/>
  <c r="S49" i="2"/>
  <c r="I49" i="2"/>
  <c r="H49" i="2"/>
  <c r="F49" i="2"/>
  <c r="E49" i="2"/>
  <c r="D49" i="2"/>
  <c r="C49" i="2"/>
  <c r="B49" i="2"/>
  <c r="Y48" i="2"/>
  <c r="V48" i="2"/>
  <c r="T48" i="2"/>
  <c r="S48" i="2"/>
  <c r="I48" i="2"/>
  <c r="H48" i="2"/>
  <c r="F48" i="2"/>
  <c r="E48" i="2"/>
  <c r="D48" i="2"/>
  <c r="C48" i="2"/>
  <c r="B48" i="2"/>
  <c r="Y47" i="2"/>
  <c r="V47" i="2"/>
  <c r="T47" i="2"/>
  <c r="S47" i="2"/>
  <c r="I47" i="2"/>
  <c r="H47" i="2"/>
  <c r="F47" i="2"/>
  <c r="E47" i="2"/>
  <c r="D47" i="2"/>
  <c r="C47" i="2"/>
  <c r="B47" i="2"/>
  <c r="Y46" i="2"/>
  <c r="V46" i="2"/>
  <c r="T46" i="2"/>
  <c r="S46" i="2"/>
  <c r="Q46" i="2"/>
  <c r="P46" i="2"/>
  <c r="M46" i="2"/>
  <c r="I46" i="2"/>
  <c r="H46" i="2"/>
  <c r="F46" i="2"/>
  <c r="E46" i="2"/>
  <c r="D46" i="2"/>
  <c r="C46" i="2"/>
  <c r="Y45" i="2"/>
  <c r="V45" i="2"/>
  <c r="T45" i="2"/>
  <c r="S45" i="2"/>
  <c r="I45" i="2"/>
  <c r="H45" i="2"/>
  <c r="F45" i="2"/>
  <c r="E45" i="2"/>
  <c r="D45" i="2"/>
  <c r="C45" i="2"/>
  <c r="Y44" i="2"/>
  <c r="V44" i="2"/>
  <c r="T44" i="2"/>
  <c r="S44" i="2"/>
  <c r="I44" i="2"/>
  <c r="H44" i="2"/>
  <c r="F44" i="2"/>
  <c r="E44" i="2"/>
  <c r="D44" i="2"/>
  <c r="C44" i="2"/>
  <c r="Y43" i="2"/>
  <c r="V43" i="2"/>
  <c r="T43" i="2"/>
  <c r="S43" i="2"/>
  <c r="I43" i="2"/>
  <c r="H43" i="2"/>
  <c r="F43" i="2"/>
  <c r="E43" i="2"/>
  <c r="D43" i="2"/>
  <c r="C43" i="2"/>
  <c r="Y42" i="2"/>
  <c r="V42" i="2"/>
  <c r="T42" i="2"/>
  <c r="S42" i="2"/>
  <c r="M42" i="2"/>
  <c r="L42" i="2"/>
  <c r="I42" i="2"/>
  <c r="H42" i="2"/>
  <c r="F42" i="2"/>
  <c r="E42" i="2"/>
  <c r="D42" i="2"/>
  <c r="C42" i="2"/>
  <c r="B42" i="2"/>
  <c r="A42" i="2"/>
  <c r="Y41" i="2"/>
  <c r="V41" i="2"/>
  <c r="T41" i="2"/>
  <c r="S41" i="2"/>
  <c r="M41" i="2"/>
  <c r="I41" i="2"/>
  <c r="H41" i="2"/>
  <c r="F41" i="2"/>
  <c r="E41" i="2"/>
  <c r="D41" i="2"/>
  <c r="C41" i="2"/>
  <c r="Y40" i="2"/>
  <c r="V40" i="2"/>
  <c r="I40" i="2"/>
  <c r="H40" i="2"/>
  <c r="F40" i="2"/>
  <c r="E40" i="2"/>
  <c r="D40" i="2"/>
  <c r="C40" i="2"/>
  <c r="B40" i="2"/>
  <c r="Y39" i="2"/>
  <c r="V39" i="2"/>
  <c r="T39" i="2"/>
  <c r="S39" i="2"/>
  <c r="I39" i="2"/>
  <c r="H39" i="2"/>
  <c r="F39" i="2"/>
  <c r="E39" i="2"/>
  <c r="D39" i="2"/>
  <c r="C39" i="2"/>
  <c r="Y38" i="2"/>
  <c r="V38" i="2"/>
  <c r="T38" i="2"/>
  <c r="S38" i="2"/>
  <c r="I38" i="2"/>
  <c r="H38" i="2"/>
  <c r="F38" i="2"/>
  <c r="E38" i="2"/>
  <c r="D38" i="2"/>
  <c r="C38" i="2"/>
  <c r="Y37" i="2"/>
  <c r="V37" i="2"/>
  <c r="T37" i="2"/>
  <c r="S37" i="2"/>
  <c r="I37" i="2"/>
  <c r="H37" i="2"/>
  <c r="F37" i="2"/>
  <c r="E37" i="2"/>
  <c r="D37" i="2"/>
  <c r="C37" i="2"/>
  <c r="Y36" i="2"/>
  <c r="V36" i="2"/>
  <c r="T36" i="2"/>
  <c r="S36" i="2"/>
  <c r="I36" i="2"/>
  <c r="H36" i="2"/>
  <c r="F36" i="2"/>
  <c r="E36" i="2"/>
  <c r="D36" i="2"/>
  <c r="C36" i="2"/>
  <c r="Y35" i="2"/>
  <c r="V35" i="2"/>
  <c r="T35" i="2"/>
  <c r="S35" i="2"/>
  <c r="M35" i="2"/>
  <c r="I35" i="2"/>
  <c r="H35" i="2"/>
  <c r="F35" i="2"/>
  <c r="E35" i="2"/>
  <c r="D35" i="2"/>
  <c r="C35" i="2"/>
  <c r="B35" i="2"/>
  <c r="A35" i="2"/>
  <c r="Y34" i="2"/>
  <c r="V34" i="2"/>
  <c r="T34" i="2"/>
  <c r="S34" i="2"/>
  <c r="I34" i="2"/>
  <c r="H34" i="2"/>
  <c r="F34" i="2"/>
  <c r="E34" i="2"/>
  <c r="D34" i="2"/>
  <c r="C34" i="2"/>
  <c r="B34" i="2"/>
  <c r="Y33" i="2"/>
  <c r="V33" i="2"/>
  <c r="T33" i="2"/>
  <c r="S33" i="2"/>
  <c r="I33" i="2"/>
  <c r="H33" i="2"/>
  <c r="F33" i="2"/>
  <c r="E33" i="2"/>
  <c r="D33" i="2"/>
  <c r="C33" i="2"/>
  <c r="B33" i="2"/>
  <c r="Y32" i="2"/>
  <c r="V32" i="2"/>
  <c r="T32" i="2"/>
  <c r="S32" i="2"/>
  <c r="I32" i="2"/>
  <c r="H32" i="2"/>
  <c r="F32" i="2"/>
  <c r="E32" i="2"/>
  <c r="D32" i="2"/>
  <c r="C32" i="2"/>
  <c r="B32" i="2"/>
  <c r="A32" i="2"/>
  <c r="Y31" i="2"/>
  <c r="V31" i="2"/>
  <c r="T31" i="2"/>
  <c r="S31" i="2"/>
  <c r="I31" i="2"/>
  <c r="H31" i="2"/>
  <c r="F31" i="2"/>
  <c r="E31" i="2"/>
  <c r="D31" i="2"/>
  <c r="C31" i="2"/>
  <c r="B31" i="2"/>
  <c r="A31" i="2"/>
  <c r="Y30" i="2"/>
  <c r="V30" i="2"/>
  <c r="T30" i="2"/>
  <c r="S30" i="2"/>
  <c r="I30" i="2"/>
  <c r="H30" i="2"/>
  <c r="F30" i="2"/>
  <c r="E30" i="2"/>
  <c r="D30" i="2"/>
  <c r="C30" i="2"/>
  <c r="B30" i="2"/>
  <c r="A30" i="2"/>
  <c r="Y29" i="2"/>
  <c r="V29" i="2"/>
  <c r="T29" i="2"/>
  <c r="S29" i="2"/>
  <c r="I29" i="2"/>
  <c r="H29" i="2"/>
  <c r="F29" i="2"/>
  <c r="E29" i="2"/>
  <c r="D29" i="2"/>
  <c r="Y28" i="2"/>
  <c r="V28" i="2"/>
  <c r="T28" i="2"/>
  <c r="S28" i="2"/>
  <c r="I28" i="2"/>
  <c r="H28" i="2"/>
  <c r="F28" i="2"/>
  <c r="E28" i="2"/>
  <c r="D28" i="2"/>
  <c r="Y27" i="2"/>
  <c r="V27" i="2"/>
  <c r="T27" i="2"/>
  <c r="S27" i="2"/>
  <c r="I27" i="2"/>
  <c r="H27" i="2"/>
  <c r="F27" i="2"/>
  <c r="E27" i="2"/>
  <c r="D27" i="2"/>
  <c r="Y26" i="2"/>
  <c r="V26" i="2"/>
  <c r="T26" i="2"/>
  <c r="S26" i="2"/>
  <c r="I26" i="2"/>
  <c r="H26" i="2"/>
  <c r="F26" i="2"/>
  <c r="E26" i="2"/>
  <c r="D26" i="2"/>
  <c r="Y25" i="2"/>
  <c r="W25" i="2"/>
  <c r="V25" i="2"/>
  <c r="M25" i="2"/>
  <c r="L25" i="2"/>
  <c r="I25" i="2"/>
  <c r="H25" i="2"/>
  <c r="F25" i="2"/>
  <c r="E25" i="2"/>
  <c r="D25" i="2"/>
  <c r="Y24" i="2"/>
  <c r="V24" i="2"/>
  <c r="M24" i="2"/>
  <c r="I24" i="2"/>
  <c r="H24" i="2"/>
  <c r="F24" i="2"/>
  <c r="E24" i="2"/>
  <c r="D24" i="2"/>
  <c r="B24" i="2"/>
  <c r="A24" i="2"/>
  <c r="Y23" i="2"/>
  <c r="V23" i="2"/>
  <c r="L23" i="2"/>
  <c r="K23" i="2"/>
  <c r="I23" i="2"/>
  <c r="H23" i="2"/>
  <c r="F23" i="2"/>
  <c r="E23" i="2"/>
  <c r="D23" i="2"/>
  <c r="C23" i="2"/>
  <c r="B23" i="2"/>
  <c r="A23" i="2"/>
  <c r="Y22" i="2"/>
  <c r="V22" i="2"/>
  <c r="T22" i="2"/>
  <c r="S22" i="2"/>
  <c r="M22" i="2"/>
  <c r="I22" i="2"/>
  <c r="H22" i="2"/>
  <c r="F22" i="2"/>
  <c r="E22" i="2"/>
  <c r="D22" i="2"/>
  <c r="C22" i="2"/>
  <c r="B22" i="2"/>
  <c r="A22" i="2"/>
  <c r="Y21" i="2"/>
  <c r="V21" i="2"/>
  <c r="T21" i="2"/>
  <c r="S21" i="2"/>
  <c r="M21" i="2"/>
  <c r="I21" i="2"/>
  <c r="H21" i="2"/>
  <c r="F21" i="2"/>
  <c r="E21" i="2"/>
  <c r="D21" i="2"/>
  <c r="C21" i="2"/>
  <c r="B21" i="2"/>
  <c r="A21" i="2"/>
  <c r="Y20" i="2"/>
  <c r="V20" i="2"/>
  <c r="T20" i="2"/>
  <c r="S20" i="2"/>
  <c r="M20" i="2"/>
  <c r="I20" i="2"/>
  <c r="H20" i="2"/>
  <c r="F20" i="2"/>
  <c r="E20" i="2"/>
  <c r="D20" i="2"/>
  <c r="C20" i="2"/>
  <c r="B20" i="2"/>
  <c r="A20" i="2"/>
  <c r="Y19" i="2"/>
  <c r="V19" i="2"/>
  <c r="T19" i="2"/>
  <c r="S19" i="2"/>
  <c r="M19" i="2"/>
  <c r="I19" i="2"/>
  <c r="H19" i="2"/>
  <c r="F19" i="2"/>
  <c r="E19" i="2"/>
  <c r="D19" i="2"/>
  <c r="C19" i="2"/>
  <c r="B19" i="2"/>
  <c r="A19" i="2"/>
  <c r="Y18" i="2"/>
  <c r="V18" i="2"/>
  <c r="T18" i="2"/>
  <c r="S18" i="2"/>
  <c r="M18" i="2"/>
  <c r="I18" i="2"/>
  <c r="H18" i="2"/>
  <c r="F18" i="2"/>
  <c r="E18" i="2"/>
  <c r="D18" i="2"/>
  <c r="C18" i="2"/>
  <c r="B18" i="2"/>
  <c r="A18" i="2"/>
  <c r="Y17" i="2"/>
  <c r="V17" i="2"/>
  <c r="T17" i="2"/>
  <c r="S17" i="2"/>
  <c r="M17" i="2"/>
  <c r="I17" i="2"/>
  <c r="H17" i="2"/>
  <c r="F17" i="2"/>
  <c r="E17" i="2"/>
  <c r="D17" i="2"/>
  <c r="C17" i="2"/>
  <c r="B17" i="2"/>
  <c r="A17" i="2"/>
  <c r="Y16" i="2"/>
  <c r="V16" i="2"/>
  <c r="T16" i="2"/>
  <c r="S16" i="2"/>
  <c r="M16" i="2"/>
  <c r="I16" i="2"/>
  <c r="H16" i="2"/>
  <c r="F16" i="2"/>
  <c r="E16" i="2"/>
  <c r="D16" i="2"/>
  <c r="C16" i="2"/>
  <c r="B16" i="2"/>
  <c r="A16" i="2"/>
  <c r="Y15" i="2"/>
  <c r="V15" i="2"/>
  <c r="T15" i="2"/>
  <c r="S15" i="2"/>
  <c r="M15" i="2"/>
  <c r="I15" i="2"/>
  <c r="H15" i="2"/>
  <c r="F15" i="2"/>
  <c r="E15" i="2"/>
  <c r="D15" i="2"/>
  <c r="C15" i="2"/>
  <c r="B15" i="2"/>
  <c r="A15" i="2"/>
  <c r="Y14" i="2"/>
  <c r="V14" i="2"/>
  <c r="T14" i="2"/>
  <c r="S14" i="2"/>
  <c r="M14" i="2"/>
  <c r="I14" i="2"/>
  <c r="H14" i="2"/>
  <c r="F14" i="2"/>
  <c r="E14" i="2"/>
  <c r="D14" i="2"/>
  <c r="C14" i="2"/>
  <c r="B14" i="2"/>
  <c r="A14" i="2"/>
  <c r="Y13" i="2"/>
  <c r="W13" i="2"/>
  <c r="V13" i="2"/>
  <c r="T13" i="2"/>
  <c r="S13" i="2"/>
  <c r="M13" i="2"/>
  <c r="I13" i="2"/>
  <c r="H13" i="2"/>
  <c r="F13" i="2"/>
  <c r="E13" i="2"/>
  <c r="D13" i="2"/>
  <c r="C13" i="2"/>
  <c r="B13" i="2"/>
  <c r="A13" i="2"/>
  <c r="Y12" i="2"/>
  <c r="V12" i="2"/>
  <c r="T12" i="2"/>
  <c r="S12" i="2"/>
  <c r="M12" i="2"/>
  <c r="I12" i="2"/>
  <c r="H12" i="2"/>
  <c r="F12" i="2"/>
  <c r="E12" i="2"/>
  <c r="D12" i="2"/>
  <c r="C12" i="2"/>
  <c r="B12" i="2"/>
  <c r="A12" i="2"/>
  <c r="Y11" i="2"/>
  <c r="V11" i="2"/>
  <c r="T11" i="2"/>
  <c r="S11" i="2"/>
  <c r="M11" i="2"/>
  <c r="I11" i="2"/>
  <c r="H11" i="2"/>
  <c r="F11" i="2"/>
  <c r="E11" i="2"/>
  <c r="D11" i="2"/>
  <c r="C11" i="2"/>
  <c r="B11" i="2"/>
  <c r="A11" i="2"/>
  <c r="Y10" i="2"/>
  <c r="V10" i="2"/>
  <c r="S10" i="2"/>
  <c r="M10" i="2"/>
  <c r="I10" i="2"/>
  <c r="H10" i="2"/>
  <c r="F10" i="2"/>
  <c r="E10" i="2"/>
  <c r="D10" i="2"/>
  <c r="C10" i="2"/>
  <c r="A10" i="2"/>
  <c r="Y9" i="2"/>
  <c r="V9" i="2"/>
  <c r="T9" i="2"/>
  <c r="S9" i="2"/>
  <c r="M9" i="2"/>
  <c r="I9" i="2"/>
  <c r="H9" i="2"/>
  <c r="F9" i="2"/>
  <c r="E9" i="2"/>
  <c r="D9" i="2"/>
  <c r="C9" i="2"/>
  <c r="A9" i="2"/>
  <c r="Y8" i="2"/>
  <c r="V8" i="2"/>
  <c r="T8" i="2"/>
  <c r="S8" i="2"/>
  <c r="M8" i="2"/>
  <c r="I8" i="2"/>
  <c r="H8" i="2"/>
  <c r="F8" i="2"/>
  <c r="E8" i="2"/>
  <c r="D8" i="2"/>
  <c r="C8" i="2"/>
  <c r="B8" i="2"/>
  <c r="A8" i="2"/>
  <c r="Y7" i="2"/>
  <c r="V7" i="2"/>
  <c r="T7" i="2"/>
  <c r="S7" i="2"/>
  <c r="M7" i="2"/>
  <c r="I7" i="2"/>
  <c r="H7" i="2"/>
  <c r="F7" i="2"/>
  <c r="E7" i="2"/>
  <c r="D7" i="2"/>
  <c r="C7" i="2"/>
  <c r="B7" i="2"/>
  <c r="A7" i="2"/>
  <c r="Y6" i="2"/>
  <c r="V6" i="2"/>
  <c r="T6" i="2"/>
  <c r="S6" i="2"/>
  <c r="M6" i="2"/>
  <c r="I6" i="2"/>
  <c r="H6" i="2"/>
  <c r="F6" i="2"/>
  <c r="E6" i="2"/>
  <c r="D6" i="2"/>
  <c r="C6" i="2"/>
  <c r="B6" i="2"/>
  <c r="A6" i="2"/>
  <c r="Y5" i="2"/>
  <c r="V5" i="2"/>
  <c r="T5" i="2"/>
  <c r="S5" i="2"/>
  <c r="M5" i="2"/>
  <c r="I5" i="2"/>
  <c r="H5" i="2"/>
  <c r="F5" i="2"/>
  <c r="E5" i="2"/>
  <c r="D5" i="2"/>
  <c r="C5" i="2"/>
  <c r="B5" i="2"/>
  <c r="A5" i="2"/>
  <c r="Y4" i="2"/>
  <c r="V4" i="2"/>
  <c r="T4" i="2"/>
  <c r="S4" i="2"/>
  <c r="M4" i="2"/>
  <c r="I4" i="2"/>
  <c r="H4" i="2"/>
  <c r="F4" i="2"/>
  <c r="E4" i="2"/>
  <c r="D4" i="2"/>
  <c r="C4" i="2"/>
  <c r="B4" i="2"/>
  <c r="A4" i="2"/>
  <c r="Y3" i="2"/>
  <c r="V3" i="2"/>
  <c r="T3" i="2"/>
  <c r="S3" i="2"/>
  <c r="M3" i="2"/>
  <c r="I3" i="2"/>
  <c r="H3" i="2"/>
  <c r="F3" i="2"/>
  <c r="E3" i="2"/>
  <c r="D3" i="2"/>
  <c r="C3" i="2"/>
  <c r="B3" i="2"/>
  <c r="A3" i="2"/>
  <c r="Y2" i="2"/>
  <c r="V2" i="2"/>
  <c r="T2" i="2"/>
  <c r="S2" i="2"/>
  <c r="M2" i="2"/>
  <c r="I2" i="2"/>
  <c r="H2" i="2"/>
  <c r="F2" i="2"/>
  <c r="E2" i="2"/>
  <c r="D2" i="2"/>
  <c r="C2" i="2"/>
  <c r="A2" i="2"/>
</calcChain>
</file>

<file path=xl/sharedStrings.xml><?xml version="1.0" encoding="utf-8"?>
<sst xmlns="http://schemas.openxmlformats.org/spreadsheetml/2006/main" count="247" uniqueCount="131">
  <si>
    <t>Наименование краткое</t>
  </si>
  <si>
    <t>Наименование торговое</t>
  </si>
  <si>
    <t>Бренд</t>
  </si>
  <si>
    <t>Индивидуальный номер товара (GTIN)</t>
  </si>
  <si>
    <t>Товарная группа</t>
  </si>
  <si>
    <t>ТН ВЭД</t>
  </si>
  <si>
    <t>Номер регистрационного удостоверения</t>
  </si>
  <si>
    <t>Владелец продукта</t>
  </si>
  <si>
    <t>Изготовитель продукта</t>
  </si>
  <si>
    <t>Количество свободных КИЗ</t>
  </si>
  <si>
    <t>Артикул</t>
  </si>
  <si>
    <t>Штрихкод</t>
  </si>
  <si>
    <t>Период срока годности</t>
  </si>
  <si>
    <t>Срок годности</t>
  </si>
  <si>
    <t>Условия хранения и транспортирования</t>
  </si>
  <si>
    <t>Характеристика</t>
  </si>
  <si>
    <t>Характеристика2</t>
  </si>
  <si>
    <t>НДС, %</t>
  </si>
  <si>
    <t>Вид документа обязательной сертификации</t>
  </si>
  <si>
    <t>Номер документа обязательной сертификации</t>
  </si>
  <si>
    <t>Дата документа обязательной сертификации</t>
  </si>
  <si>
    <t>Вид упаковки</t>
  </si>
  <si>
    <t>Представление упаковки</t>
  </si>
  <si>
    <t>Масса нетто, гр. / Объем упаковки, мл.</t>
  </si>
  <si>
    <t>Этикетка упаковки</t>
  </si>
  <si>
    <t>Карамель леденцовая «Мини-М» «BARISTA» со вкусом: кофе, мокко, капучино, ирландского крема.</t>
  </si>
  <si>
    <t>Хранить при температуре 18±3ºС и относительной влажности воздуха не более 75%</t>
  </si>
  <si>
    <t>03.06.2026</t>
  </si>
  <si>
    <t>Хранить при температуре 18±3ºС и относительной влажности воздуха не более 75%.</t>
  </si>
  <si>
    <t>02.02.2024</t>
  </si>
  <si>
    <t>Карамель леденцовая ""Мини-М"" MIX Bubble gum &amp; Tutti frutti</t>
  </si>
  <si>
    <t>08.12.2025</t>
  </si>
  <si>
    <t>Изделия кондитерские сахаристые: «Ассорти Сладостей»</t>
  </si>
  <si>
    <t>при температуре 18±3 ºC и относительной влажности воздуха не более 75%.</t>
  </si>
  <si>
    <t>Карамаль леденцовая ""Деловой Стандарт"" ассорти кофейных вкусов, 500г (04670072491660)</t>
  </si>
  <si>
    <t>Карамаль леденцовая ""Деловой Стандарт"" ассорти кофейных вкусов, 500г</t>
  </si>
  <si>
    <t>Карамаль леденцовая ""Деловой Стандарт"" ассорти, 2кг (04670323906103)</t>
  </si>
  <si>
    <t>Карамаль леденцовая ""Деловой Стандарт"" ассорти, 2кг</t>
  </si>
  <si>
    <t>Карамаль леденцовая ""Деловой Стандарт"" ассорти, 500 г (04670323906097)</t>
  </si>
  <si>
    <t>Карамаль леденцовая ""Деловой Стандарт"" ассорти, 500 г</t>
  </si>
  <si>
    <t>Карамаль леденцовая ""Деловой Стандарт"" ассорти, 500г (04670072491677)</t>
  </si>
  <si>
    <t>Карамаль леденцовая ""Деловой Стандарт"" ассорти, 500г</t>
  </si>
  <si>
    <t>07.06.2023</t>
  </si>
  <si>
    <t>карамель ""АМ-МИ"" фруктовое ассорти (04607033641376)</t>
  </si>
  <si>
    <t>карамель ""АМ-МИ"" фруктовое ассорти (04607033641482)</t>
  </si>
  <si>
    <t>сахар, патока, регулятор кислотности- кислота лимонная, ароматизаторы (кола, вишня, лимон, ваниль)</t>
  </si>
  <si>
    <t>карамель леденцовая ""мини-м"" ""монпансье"" со вкусом апельсина (04607033642106)</t>
  </si>
  <si>
    <t>карамель леденцовая ""мини-м"" ""монпансье"" со вкусом апельсина</t>
  </si>
  <si>
    <t>25.02.2026</t>
  </si>
  <si>
    <t>карамель леденцовая ""мини-м"" ""монпансье"" со вкусом вишни (04607033641970)</t>
  </si>
  <si>
    <t>карамель леденцовая ""мини-м"" ""монпансье"" со вкусом вишни</t>
  </si>
  <si>
    <t>карамель леденцовая ""мини-м"" ""монпансье"" со вкусом клубники (04607033641987)</t>
  </si>
  <si>
    <t>карамель леденцовая ""мини-м"" ""монпансье"" со вкусом клубники</t>
  </si>
  <si>
    <t>карамель леденцовая ""мини-м"" ""монпансье"" со вкусом яблока (04607033641994)</t>
  </si>
  <si>
    <t>карамель леденцовая ""мини-м"" ""монпансье"" со вкусом яблока</t>
  </si>
  <si>
    <t>Карамель леденцовая ""мини-м"" Классика (04607033643233)</t>
  </si>
  <si>
    <t>карамель леденцовая ""мини-м"" классика со вкусом: вишни, персика, чёрной смородины, яблока</t>
  </si>
  <si>
    <t>24.03.2026</t>
  </si>
  <si>
    <t>карамель леденцовая «magic smiles» с натуральным соком (04607033642267)</t>
  </si>
  <si>
    <t>карамель леденцовая «magic smiles» с натуральным соком</t>
  </si>
  <si>
    <t>04.03.2024</t>
  </si>
  <si>
    <t>карамель леденцовая «magic smiles» с натуральным соком (04607033643097)</t>
  </si>
  <si>
    <t>карамель леденцовая «magic smiles» с натуральным соком. (04607033644230)</t>
  </si>
  <si>
    <t>карамель леденцовая «magic smiles» с натуральным соком.</t>
  </si>
  <si>
    <t>Карамель леденцовая «merry – go – round sweets» со вкусом баббл-гам (04607033646098)</t>
  </si>
  <si>
    <t>Карамель леденцовая «merry – go – round sweets» со вкусом баббл-гам</t>
  </si>
  <si>
    <t>19.03.2026</t>
  </si>
  <si>
    <t>Карамель леденцовая «mini Fruit team» (04607033645435)</t>
  </si>
  <si>
    <t>20.03.2025</t>
  </si>
  <si>
    <t>Карамель леденцовая «mini Fruit team» (04607033645459)</t>
  </si>
  <si>
    <t>Карамель леденцовая «mini Fruit team» (04607033645466)</t>
  </si>
  <si>
    <t>карамель леденцовая «omg!» super cherry (04607033642564)</t>
  </si>
  <si>
    <t>карамель леденцовая «omg!» super cola (04607033642557)</t>
  </si>
  <si>
    <t>карамель леденцовая «omg!» super lemon (04607033642540)</t>
  </si>
  <si>
    <t>карамель леденцовая «omg!» ассорти (super lemon, super cola, super cherry) (04607033645305)</t>
  </si>
  <si>
    <t>карамель леденцовая «omg!» ассорти (super lemon, super cola, super cherry)</t>
  </si>
  <si>
    <t>карамель леденцовая «omg!» ассорти (super lemon, super cola, super cherry) (04607033645367)</t>
  </si>
  <si>
    <t>карамель леденцовая «SWEET ENERGY» (04607033643318)</t>
  </si>
  <si>
    <t>03.12.2024</t>
  </si>
  <si>
    <t>карамель леденцовая «SWEET ENERGY» (04607033645329)</t>
  </si>
  <si>
    <t>Карамель леденцовая «SWEET RACE» ассорти (04607033644025)</t>
  </si>
  <si>
    <t>Карамель леденцовая «SWEET RACE» ассорти (04607033644254)</t>
  </si>
  <si>
    <t>Карамель леденцовая «SWEET RACE» ассорти (04607033644469)</t>
  </si>
  <si>
    <t>Карамель леденцовая «SWEET RINGS» ANIMALS (04607033645022)</t>
  </si>
  <si>
    <t>Карамель леденцовая «SWEET RINGS» ANIMALS (04607033645046)</t>
  </si>
  <si>
    <t>Карамель леденцовая «SWEET RINGS» ANIMALS (04607033645282)</t>
  </si>
  <si>
    <t>Карамель леденцовая «SWEET RINGS» ANIME (04607033644964)</t>
  </si>
  <si>
    <t>Карамель леденцовая «SWEET RINGS» ANIME (04607033644988)</t>
  </si>
  <si>
    <t>Карамель леденцовая «SWEET RINGS» ANIME (04607033645268)</t>
  </si>
  <si>
    <t>Карамель леденцовая «SWEET RINGS» COMICS (04607033645053)</t>
  </si>
  <si>
    <t>Карамель леденцовая «SWEET RINGS» COMICS (04607033645077)</t>
  </si>
  <si>
    <t>Карамель леденцовая «SWEET RINGS» DRINKS (04607033644094)</t>
  </si>
  <si>
    <t>Карамель леденцовая «SWEET RINGS» DRINKS (04607033644520)</t>
  </si>
  <si>
    <t>Карамель леденцовая «SWEET RINGS» LOVE (04607033644995)</t>
  </si>
  <si>
    <t>Карамель леденцовая «SWEET RINGS» LOVE (04607033645015)</t>
  </si>
  <si>
    <t>Карамель леденцовая «SWEET RINGS» MIX (04607033643059)</t>
  </si>
  <si>
    <t>Карамель леденцовая «SWEET RINGS» MIX (04607033644100)</t>
  </si>
  <si>
    <t>Карамель леденцовая «SWEET RINGS» MIX (04607033644506)</t>
  </si>
  <si>
    <t>Карамель леденцовая «SWEET RINGS» СOOL (04607033642816)</t>
  </si>
  <si>
    <t>Карамель леденцовая «SWEET RINGS» СOOL (04607033644933)</t>
  </si>
  <si>
    <t>Карамель леденцовая «SWEET RINGS» СOOL (04607033644940)</t>
  </si>
  <si>
    <t>Карамель леденцовая «АМ-МИ» фруктовое ассорти (04607033644001)</t>
  </si>
  <si>
    <t>Карамель леденцовая «АМ-МИ» фруктовое ассорти (04607033644148)</t>
  </si>
  <si>
    <t>Карамель леденцовая «АМ-МИ» ЦИТРУСОВОЕ АССОРТИ (04607033645138)</t>
  </si>
  <si>
    <t>Карамель леденцовая «АМ-МИ» ЦИТРУСОВОЕ АССОРТИ (04607033645152)</t>
  </si>
  <si>
    <t>Карамель леденцовая «АМ-МИ» ЦИТРУСОВОЕ АССОРТИ (04607033645206)</t>
  </si>
  <si>
    <t>Карамель леденцовая «АМ-МИ» ЯГОДНОЕ АССОРТИ (04607033645107)</t>
  </si>
  <si>
    <t>Карамель леденцовая «АМ-МИ» ЯГОДНОЕ АССОРТИ (04607033645121)</t>
  </si>
  <si>
    <t>Карамель леденцовая «АМ-МИ» ЯГОДНОЕ АССОРТИ (04607033645169)</t>
  </si>
  <si>
    <t>Карамель леденцовая «АМ-МИ» ЯГОДНОЕ АССОРТИ (04607033645183)</t>
  </si>
  <si>
    <t>Карамель леденцовая «Мини-Акварельки» (04607033643394)</t>
  </si>
  <si>
    <t>Карамель леденцовая «Мини-Акварельки» (04607033644582)</t>
  </si>
  <si>
    <t>карамель леденцовая без сахара на изомальте апельсин (04607033641239)</t>
  </si>
  <si>
    <t>карамель леденцовая без сахара на изомальте апельсин</t>
  </si>
  <si>
    <t>16.05.2023</t>
  </si>
  <si>
    <t>карамель леденцовая без сахара на изомальте лимон-мята (04607033641222)</t>
  </si>
  <si>
    <t>карамель леденцовая без сахара на изомальте лимон-мята</t>
  </si>
  <si>
    <t>Карамель леденцовая без сахара на изомальте МАЛВИКЪ Diet с ароматом кофе (04607033642939)</t>
  </si>
  <si>
    <t>Карамель леденцовая без сахара на изомальте МАЛВИКЪ Diet с ароматом кофе</t>
  </si>
  <si>
    <t>Карамель леденцовая без сахара на изомальте МАЛВИКЪ Diet со вкусом вишни (с натуральным соком) (04607033642908)</t>
  </si>
  <si>
    <t>Карамель леденцовая без сахара на изомальте МАЛВИКЪ Diet со вкусом вишни (с натуральным соком)</t>
  </si>
  <si>
    <t>Карамель леденцовая без сахара на изомальте МАЛВИКЪ Diet со вкусом клубники (с натуральным соком) (04607033642960)</t>
  </si>
  <si>
    <t>Карамель леденцовая без сахара на изомальте МАЛВИКЪ Diet со вкусом клубники (с натуральным соком)</t>
  </si>
  <si>
    <t>Карамель леденцовая без сахара на изомальте МАЛВИКЪ Diet со вкусом яблока (с натуральным соком) (04607033642991)</t>
  </si>
  <si>
    <t>Карамель леденцовая без сахара на изомальте МАЛВИКЪ Diet со вкусом яблока (с натуральным соком)</t>
  </si>
  <si>
    <t>карамель леденцовая без сахара на изомальте малина (04607033641208)</t>
  </si>
  <si>
    <t>карамель леденцовая без сахара на изомальте черная смородина (04607033641192)</t>
  </si>
  <si>
    <t>карамель леденцовая без сахара на изомальте черная смородина</t>
  </si>
  <si>
    <t>карамель леденцовая без сахара на изомальте эвкалипт (04607033641215)</t>
  </si>
  <si>
    <t>карамель леденцовая без сахара на изомальте эвкалипт</t>
  </si>
  <si>
    <t>Карамель леденцовая фигурная «MIX» ассорти (04607033644810)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</si>
</sst>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F771-D682-4069-B700-1B1736251C92}">
  <sheetPr>
    <pageSetUpPr fitToPage="1"/>
  </sheetPr>
  <dimension ref="A1:Y106"/>
  <sheetViews>
    <sheetView tabSelected="1" workbookViewId="0">
      <pane ySplit="1" topLeftCell="A59" activePane="bottomLeft" state="frozen"/>
      <selection pane="bottomLeft"/>
    </sheetView>
  </sheetViews>
  <sheetFormatPr defaultRowHeight="15" x14ac:dyDescent="0.25"/>
  <cols>
    <col min="1" max="1" width="117.42578125" bestFit="1" customWidth="1"/>
    <col min="2" max="2" width="101" bestFit="1" customWidth="1"/>
    <col min="3" max="3" width="14.42578125" bestFit="1" customWidth="1"/>
    <col min="4" max="5" width="37" bestFit="1" customWidth="1"/>
    <col min="6" max="6" width="11" bestFit="1" customWidth="1"/>
    <col min="7" max="7" width="39.5703125" bestFit="1" customWidth="1"/>
    <col min="8" max="8" width="19.140625" bestFit="1" customWidth="1"/>
    <col min="9" max="9" width="22.7109375" bestFit="1" customWidth="1"/>
    <col min="10" max="10" width="26.5703125" bestFit="1" customWidth="1"/>
    <col min="11" max="11" width="8.5703125" bestFit="1" customWidth="1"/>
    <col min="12" max="12" width="15.140625" bestFit="1" customWidth="1"/>
    <col min="13" max="13" width="22.5703125" bestFit="1" customWidth="1"/>
    <col min="14" max="14" width="14.140625" bestFit="1" customWidth="1"/>
    <col min="15" max="15" width="80.5703125" bestFit="1" customWidth="1"/>
    <col min="16" max="16" width="98.5703125" bestFit="1" customWidth="1"/>
    <col min="17" max="17" width="16.5703125" bestFit="1" customWidth="1"/>
    <col min="18" max="18" width="7.42578125" bestFit="1" customWidth="1"/>
    <col min="19" max="19" width="45" bestFit="1" customWidth="1"/>
    <col min="20" max="20" width="45.140625" bestFit="1" customWidth="1"/>
    <col min="21" max="21" width="43.28515625" bestFit="1" customWidth="1"/>
    <col min="22" max="22" width="27.85546875" bestFit="1" customWidth="1"/>
    <col min="23" max="23" width="24.42578125" bestFit="1" customWidth="1"/>
    <col min="24" max="24" width="37.28515625" bestFit="1" customWidth="1"/>
    <col min="25" max="25" width="37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tr">
        <f>"«Мини-М» «BARISTA», 0.180 кг"</f>
        <v>«Мини-М» «BARISTA», 0.180 кг</v>
      </c>
      <c r="B2" s="2" t="s">
        <v>25</v>
      </c>
      <c r="C2" s="2" t="str">
        <f>"ТМ МАЛВИКЪ"</f>
        <v>ТМ МАЛВИКЪ</v>
      </c>
      <c r="D2" s="2" t="str">
        <f>"04607033643493"</f>
        <v>04607033643493</v>
      </c>
      <c r="E2" s="2" t="str">
        <f>"Сладости и кондитерские_x000D_
 изделия (4)"</f>
        <v>Сладости и кондитерские_x000D_
 изделия (4)</v>
      </c>
      <c r="F2" s="2" t="str">
        <f t="shared" ref="F2:F23" si="0">"1704907100"</f>
        <v>1704907100</v>
      </c>
      <c r="G2" s="2"/>
      <c r="H2" s="2" t="str">
        <f t="shared" ref="H2:I25" si="1">"ООО «МАЛВИКЪ»"</f>
        <v>ООО «МАЛВИКЪ»</v>
      </c>
      <c r="I2" s="2" t="str">
        <f t="shared" si="1"/>
        <v>ООО «МАЛВИКЪ»</v>
      </c>
      <c r="J2" s="2">
        <v>0</v>
      </c>
      <c r="K2" s="2"/>
      <c r="L2" s="2"/>
      <c r="M2" s="2" t="str">
        <f>"Год"</f>
        <v>Год</v>
      </c>
      <c r="N2" s="2">
        <v>12</v>
      </c>
      <c r="O2" s="2" t="s">
        <v>26</v>
      </c>
      <c r="P2" s="2"/>
      <c r="Q2" s="2"/>
      <c r="R2" s="2"/>
      <c r="S2" s="2" t="str">
        <f t="shared" ref="S2:S9" si="2">"Декларация о соответствии"</f>
        <v>Декларация о соответствии</v>
      </c>
      <c r="T2" s="2" t="str">
        <f>"ЕАЭС N RU Д-RU.РА04.В.73998/26"</f>
        <v>ЕАЭС N RU Д-RU.РА04.В.73998/26</v>
      </c>
      <c r="U2" s="2" t="s">
        <v>27</v>
      </c>
      <c r="V2" s="2" t="str">
        <f t="shared" ref="V2:V22" si="3">"Коробка (UNIT)"</f>
        <v>Коробка (UNIT)</v>
      </c>
      <c r="W2" s="2"/>
      <c r="X2" s="2">
        <v>180</v>
      </c>
      <c r="Y2" s="2" t="str">
        <f>"Novexx_Box_Short_80x80 — пакет.for"</f>
        <v>Novexx_Box_Short_80x80 — пакет.for</v>
      </c>
    </row>
    <row r="3" spans="1:25" x14ac:dyDescent="0.25">
      <c r="A3" s="2" t="str">
        <f>"«Мини-М» «BARISTA», 0.300 кг"</f>
        <v>«Мини-М» «BARISTA», 0.300 кг</v>
      </c>
      <c r="B3" s="2" t="str">
        <f>"Карамель леденцовая «Мини-М» «BARISTA»"</f>
        <v>Карамель леденцовая «Мини-М» «BARISTA»</v>
      </c>
      <c r="C3" s="2" t="str">
        <f>"ТМ МАЛВИКЪ"</f>
        <v>ТМ МАЛВИКЪ</v>
      </c>
      <c r="D3" s="2" t="str">
        <f>"04607033643585"</f>
        <v>04607033643585</v>
      </c>
      <c r="E3" s="2" t="str">
        <f>"Сладости и кондитерские_x000D_ 
изделия (44)"</f>
        <v>Сладости и кондитерские_x000D_ 
изделия (44)</v>
      </c>
      <c r="F3" s="2" t="str">
        <f t="shared" si="0"/>
        <v>1704907100</v>
      </c>
      <c r="G3" s="2"/>
      <c r="H3" s="2" t="str">
        <f t="shared" si="1"/>
        <v>ООО «МАЛВИКЪ»</v>
      </c>
      <c r="I3" s="2" t="str">
        <f t="shared" si="1"/>
        <v>ООО «МАЛВИКЪ»</v>
      </c>
      <c r="J3" s="2">
        <v>0</v>
      </c>
      <c r="K3" s="2"/>
      <c r="L3" s="2"/>
      <c r="M3" s="2" t="str">
        <f>"Месяц"</f>
        <v>Месяц</v>
      </c>
      <c r="N3" s="2">
        <v>12</v>
      </c>
      <c r="O3" s="2" t="s">
        <v>26</v>
      </c>
      <c r="P3" s="2"/>
      <c r="Q3" s="2"/>
      <c r="R3" s="2"/>
      <c r="S3" s="2" t="str">
        <f t="shared" si="2"/>
        <v>Декларация о соответствии</v>
      </c>
      <c r="T3" s="2" t="str">
        <f>"ЕАЭС N RU Д-RU.РА04.В.73998/26"</f>
        <v>ЕАЭС N RU Д-RU.РА04.В.73998/26</v>
      </c>
      <c r="U3" s="2" t="s">
        <v>27</v>
      </c>
      <c r="V3" s="2" t="str">
        <f t="shared" si="3"/>
        <v>Коробка (UNIT)</v>
      </c>
      <c r="W3" s="2"/>
      <c r="X3" s="2">
        <v>300</v>
      </c>
      <c r="Y3" s="2" t="str">
        <f>"Novexx_Box_Long_80x80.for"</f>
        <v>Novexx_Box_Long_80x80.for</v>
      </c>
    </row>
    <row r="4" spans="1:25" x14ac:dyDescent="0.25">
      <c r="A4" s="2" t="str">
        <f>"«Мини-М» «BARISTA», 0.5 кг"</f>
        <v>«Мини-М» «BARISTA», 0.5 кг</v>
      </c>
      <c r="B4" s="2" t="str">
        <f>"Карамель леденцовая «Мини-М» «BARISTA»"</f>
        <v>Карамель леденцовая «Мини-М» «BARISTA»</v>
      </c>
      <c r="C4" s="2" t="str">
        <f>"ТМ МАЛВИКЪ"</f>
        <v>ТМ МАЛВИКЪ</v>
      </c>
      <c r="D4" s="2" t="str">
        <f>"04607033643561"</f>
        <v>04607033643561</v>
      </c>
      <c r="E4" s="2" t="str">
        <f>"Сладости и кондитерские_x000D_
 изделия (4)"</f>
        <v>Сладости и кондитерские_x000D_
 изделия (4)</v>
      </c>
      <c r="F4" s="2" t="str">
        <f t="shared" si="0"/>
        <v>1704907100</v>
      </c>
      <c r="G4" s="2"/>
      <c r="H4" s="2" t="str">
        <f t="shared" si="1"/>
        <v>ООО «МАЛВИКЪ»</v>
      </c>
      <c r="I4" s="2" t="str">
        <f t="shared" si="1"/>
        <v>ООО «МАЛВИКЪ»</v>
      </c>
      <c r="J4" s="2">
        <v>0</v>
      </c>
      <c r="K4" s="2"/>
      <c r="L4" s="2"/>
      <c r="M4" s="2" t="str">
        <f>"Месяц"</f>
        <v>Месяц</v>
      </c>
      <c r="N4" s="2">
        <v>12</v>
      </c>
      <c r="O4" s="2" t="s">
        <v>26</v>
      </c>
      <c r="P4" s="2"/>
      <c r="Q4" s="2"/>
      <c r="R4" s="2"/>
      <c r="S4" s="2" t="str">
        <f t="shared" si="2"/>
        <v>Декларация о соответствии</v>
      </c>
      <c r="T4" s="2" t="str">
        <f>"ЕАЭС N RU Д-RU.РА04.В.73998/26"</f>
        <v>ЕАЭС N RU Д-RU.РА04.В.73998/26</v>
      </c>
      <c r="U4" s="2" t="s">
        <v>27</v>
      </c>
      <c r="V4" s="2" t="str">
        <f t="shared" si="3"/>
        <v>Коробка (UNIT)</v>
      </c>
      <c r="W4" s="2"/>
      <c r="X4" s="2">
        <v>500</v>
      </c>
      <c r="Y4" s="2" t="str">
        <f>"Novexx_Box_Short_80x80 — пакет.for"</f>
        <v>Novexx_Box_Short_80x80 — пакет.for</v>
      </c>
    </row>
    <row r="5" spans="1:25" x14ac:dyDescent="0.25">
      <c r="A5" s="2" t="str">
        <f>"«Мини-М» «BARISTA», 1 кг"</f>
        <v>«Мини-М» «BARISTA», 1 кг</v>
      </c>
      <c r="B5" s="2" t="str">
        <f>"Карамель леденцовая «Мини-М» «BARISTA»"</f>
        <v>Карамель леденцовая «Мини-М» «BARISTA»</v>
      </c>
      <c r="C5" s="2" t="str">
        <f>"ТМ МАЛВИКЪ"</f>
        <v>ТМ МАЛВИКЪ</v>
      </c>
      <c r="D5" s="2" t="str">
        <f>"04607033643356"</f>
        <v>04607033643356</v>
      </c>
      <c r="E5" s="2" t="str">
        <f>"Сладости и кондитерские_x000D_
 изделия (4)"</f>
        <v>Сладости и кондитерские_x000D_
 изделия (4)</v>
      </c>
      <c r="F5" s="2" t="str">
        <f t="shared" si="0"/>
        <v>1704907100</v>
      </c>
      <c r="G5" s="2"/>
      <c r="H5" s="2" t="str">
        <f t="shared" si="1"/>
        <v>ООО «МАЛВИКЪ»</v>
      </c>
      <c r="I5" s="2" t="str">
        <f t="shared" si="1"/>
        <v>ООО «МАЛВИКЪ»</v>
      </c>
      <c r="J5" s="2">
        <v>0</v>
      </c>
      <c r="K5" s="2"/>
      <c r="L5" s="2"/>
      <c r="M5" s="2" t="str">
        <f>"Год"</f>
        <v>Год</v>
      </c>
      <c r="N5" s="2">
        <v>12</v>
      </c>
      <c r="O5" s="2" t="s">
        <v>26</v>
      </c>
      <c r="P5" s="2"/>
      <c r="Q5" s="2"/>
      <c r="R5" s="2"/>
      <c r="S5" s="2" t="str">
        <f t="shared" si="2"/>
        <v>Декларация о соответствии</v>
      </c>
      <c r="T5" s="2" t="str">
        <f>"ЕАЭС N RU Д-RU.РА04.В.73998/26"</f>
        <v>ЕАЭС N RU Д-RU.РА04.В.73998/26</v>
      </c>
      <c r="U5" s="2" t="s">
        <v>27</v>
      </c>
      <c r="V5" s="2" t="str">
        <f t="shared" si="3"/>
        <v>Коробка (UNIT)</v>
      </c>
      <c r="W5" s="2"/>
      <c r="X5" s="2">
        <v>1000</v>
      </c>
      <c r="Y5" s="2" t="str">
        <f>"Novexx_Box_Short_80x80 — пакет.for"</f>
        <v>Novexx_Box_Short_80x80 — пакет.for</v>
      </c>
    </row>
    <row r="6" spans="1:25" x14ac:dyDescent="0.25">
      <c r="A6" s="2" t="str">
        <f>"«Мини-М» «BARISTA», 6 кг"</f>
        <v>«Мини-М» «BARISTA», 6 кг</v>
      </c>
      <c r="B6" s="2" t="str">
        <f>"Карамель леденцовая «Мини-М» «BARISTA»"</f>
        <v>Карамель леденцовая «Мини-М» «BARISTA»</v>
      </c>
      <c r="C6" s="2" t="str">
        <f>"ТМ МАЛВИКЪ"</f>
        <v>ТМ МАЛВИКЪ</v>
      </c>
      <c r="D6" s="2" t="str">
        <f>"04607033644179"</f>
        <v>04607033644179</v>
      </c>
      <c r="E6" s="2" t="str">
        <f>"Сладости и кондитерские_x000D_
 изделия (4)"</f>
        <v>Сладости и кондитерские_x000D_
 изделия (4)</v>
      </c>
      <c r="F6" s="2" t="str">
        <f t="shared" si="0"/>
        <v>1704907100</v>
      </c>
      <c r="G6" s="2"/>
      <c r="H6" s="2" t="str">
        <f t="shared" si="1"/>
        <v>ООО «МАЛВИКЪ»</v>
      </c>
      <c r="I6" s="2" t="str">
        <f t="shared" si="1"/>
        <v>ООО «МАЛВИКЪ»</v>
      </c>
      <c r="J6" s="2">
        <v>0</v>
      </c>
      <c r="K6" s="2"/>
      <c r="L6" s="2"/>
      <c r="M6" s="2" t="str">
        <f t="shared" ref="M6:M12" si="4">"Месяц"</f>
        <v>Месяц</v>
      </c>
      <c r="N6" s="2">
        <v>12</v>
      </c>
      <c r="O6" s="2" t="s">
        <v>26</v>
      </c>
      <c r="P6" s="2"/>
      <c r="Q6" s="2"/>
      <c r="R6" s="2"/>
      <c r="S6" s="2" t="str">
        <f t="shared" si="2"/>
        <v>Декларация о соответствии</v>
      </c>
      <c r="T6" s="2" t="str">
        <f>"ЕАЭС N RU Д-RU.РА04.В.73998/26"</f>
        <v>ЕАЭС N RU Д-RU.РА04.В.73998/26</v>
      </c>
      <c r="U6" s="2" t="s">
        <v>27</v>
      </c>
      <c r="V6" s="2" t="str">
        <f t="shared" si="3"/>
        <v>Коробка (UNIT)</v>
      </c>
      <c r="W6" s="2"/>
      <c r="X6" s="2">
        <v>6000</v>
      </c>
      <c r="Y6" s="2" t="str">
        <f>"Novexx_Box_Short_80x80 — пакет.for"</f>
        <v>Novexx_Box_Short_80x80 — пакет.for</v>
      </c>
    </row>
    <row r="7" spans="1:25" x14ac:dyDescent="0.25">
      <c r="A7" s="2" t="str">
        <f>"«Мини-М» «Вкусы юга», 1 кг"</f>
        <v>«Мини-М» «Вкусы юга», 1 кг</v>
      </c>
      <c r="B7" s="2" t="str">
        <f>"карамель леденцовая «мини-м» «вкусы юга»"</f>
        <v>карамель леденцовая «мини-м» «вкусы юга»</v>
      </c>
      <c r="C7" s="2" t="str">
        <f t="shared" ref="C7:C22" si="5">"нет"</f>
        <v>нет</v>
      </c>
      <c r="D7" s="2" t="str">
        <f>"04607033644070"</f>
        <v>04607033644070</v>
      </c>
      <c r="E7" s="2" t="str">
        <f>"Сладости и кондитерские_x000D_ 
изделия (44)"</f>
        <v>Сладости и кондитерские_x000D_ 
изделия (44)</v>
      </c>
      <c r="F7" s="2" t="str">
        <f t="shared" si="0"/>
        <v>1704907100</v>
      </c>
      <c r="G7" s="2"/>
      <c r="H7" s="2" t="str">
        <f t="shared" si="1"/>
        <v>ООО «МАЛВИКЪ»</v>
      </c>
      <c r="I7" s="2" t="str">
        <f t="shared" si="1"/>
        <v>ООО «МАЛВИКЪ»</v>
      </c>
      <c r="J7" s="2">
        <v>0</v>
      </c>
      <c r="K7" s="2"/>
      <c r="L7" s="2"/>
      <c r="M7" s="2" t="str">
        <f t="shared" si="4"/>
        <v>Месяц</v>
      </c>
      <c r="N7" s="2">
        <v>12</v>
      </c>
      <c r="O7" s="2" t="s">
        <v>28</v>
      </c>
      <c r="P7" s="2"/>
      <c r="Q7" s="2"/>
      <c r="R7" s="2"/>
      <c r="S7" s="2" t="str">
        <f t="shared" si="2"/>
        <v>Декларация о соответствии</v>
      </c>
      <c r="T7" s="2" t="str">
        <f>"ЕАЭС N RU Д-RU.РА01.В.67464/24"</f>
        <v>ЕАЭС N RU Д-RU.РА01.В.67464/24</v>
      </c>
      <c r="U7" s="2" t="s">
        <v>29</v>
      </c>
      <c r="V7" s="2" t="str">
        <f t="shared" si="3"/>
        <v>Коробка (UNIT)</v>
      </c>
      <c r="W7" s="2"/>
      <c r="X7" s="2">
        <v>1000</v>
      </c>
      <c r="Y7" s="2" t="str">
        <f>"Novexx_Box_Long_80x80.for"</f>
        <v>Novexx_Box_Long_80x80.for</v>
      </c>
    </row>
    <row r="8" spans="1:25" x14ac:dyDescent="0.25">
      <c r="A8" s="2" t="str">
        <f>"«Мини-М» «Вкусы юга», 6 кг"</f>
        <v>«Мини-М» «Вкусы юга», 6 кг</v>
      </c>
      <c r="B8" s="2" t="str">
        <f>"карамель леденцовая «мини-м» «вкусы юга»."</f>
        <v>карамель леденцовая «мини-м» «вкусы юга».</v>
      </c>
      <c r="C8" s="2" t="str">
        <f t="shared" si="5"/>
        <v>нет</v>
      </c>
      <c r="D8" s="2" t="str">
        <f>"04607033644186"</f>
        <v>04607033644186</v>
      </c>
      <c r="E8" s="2" t="str">
        <f>"Сладости и кондитерские_x000D_ 
изделия (44)"</f>
        <v>Сладости и кондитерские_x000D_ 
изделия (44)</v>
      </c>
      <c r="F8" s="2" t="str">
        <f t="shared" si="0"/>
        <v>1704907100</v>
      </c>
      <c r="G8" s="2"/>
      <c r="H8" s="2" t="str">
        <f t="shared" si="1"/>
        <v>ООО «МАЛВИКЪ»</v>
      </c>
      <c r="I8" s="2" t="str">
        <f t="shared" si="1"/>
        <v>ООО «МАЛВИКЪ»</v>
      </c>
      <c r="J8" s="2">
        <v>0</v>
      </c>
      <c r="K8" s="2"/>
      <c r="L8" s="2"/>
      <c r="M8" s="2" t="str">
        <f t="shared" si="4"/>
        <v>Месяц</v>
      </c>
      <c r="N8" s="2">
        <v>12</v>
      </c>
      <c r="O8" s="2" t="s">
        <v>28</v>
      </c>
      <c r="P8" s="2"/>
      <c r="Q8" s="2"/>
      <c r="R8" s="2"/>
      <c r="S8" s="2" t="str">
        <f t="shared" si="2"/>
        <v>Декларация о соответствии</v>
      </c>
      <c r="T8" s="2" t="str">
        <f>"ЕАЭС N RU Д-RU.РА01.В.67464/24"</f>
        <v>ЕАЭС N RU Д-RU.РА01.В.67464/24</v>
      </c>
      <c r="U8" s="2" t="s">
        <v>29</v>
      </c>
      <c r="V8" s="2" t="str">
        <f t="shared" si="3"/>
        <v>Коробка (UNIT)</v>
      </c>
      <c r="W8" s="2"/>
      <c r="X8" s="2">
        <v>6000</v>
      </c>
      <c r="Y8" s="2" t="str">
        <f>"Novexx_Box_Long_80x100.for"</f>
        <v>Novexx_Box_Long_80x100.for</v>
      </c>
    </row>
    <row r="9" spans="1:25" x14ac:dyDescent="0.25">
      <c r="A9" s="2" t="str">
        <f>"«Мини-М» MIX Bubble gum &amp; Tutti frutti, 1 кг"</f>
        <v>«Мини-М» MIX Bubble gum &amp; Tutti frutti, 1 кг</v>
      </c>
      <c r="B9" s="2" t="s">
        <v>30</v>
      </c>
      <c r="C9" s="2" t="str">
        <f t="shared" si="5"/>
        <v>нет</v>
      </c>
      <c r="D9" s="2" t="str">
        <f>"04607033643110"</f>
        <v>04607033643110</v>
      </c>
      <c r="E9" s="2" t="str">
        <f>"Сладости и кондитерские_x000D_
 изделия (4)"</f>
        <v>Сладости и кондитерские_x000D_
 изделия (4)</v>
      </c>
      <c r="F9" s="2" t="str">
        <f t="shared" si="0"/>
        <v>1704907100</v>
      </c>
      <c r="G9" s="2"/>
      <c r="H9" s="2" t="str">
        <f t="shared" si="1"/>
        <v>ООО «МАЛВИКЪ»</v>
      </c>
      <c r="I9" s="2" t="str">
        <f t="shared" si="1"/>
        <v>ООО «МАЛВИКЪ»</v>
      </c>
      <c r="J9" s="2">
        <v>0</v>
      </c>
      <c r="K9" s="2"/>
      <c r="L9" s="2"/>
      <c r="M9" s="2" t="str">
        <f t="shared" si="4"/>
        <v>Месяц</v>
      </c>
      <c r="N9" s="2">
        <v>12</v>
      </c>
      <c r="O9" s="2" t="s">
        <v>28</v>
      </c>
      <c r="P9" s="2"/>
      <c r="Q9" s="2"/>
      <c r="R9" s="2"/>
      <c r="S9" s="2" t="str">
        <f t="shared" si="2"/>
        <v>Декларация о соответствии</v>
      </c>
      <c r="T9" s="2" t="str">
        <f>"ЕАЭС N RU Д-RU.РА11.В.39507/25"</f>
        <v>ЕАЭС N RU Д-RU.РА11.В.39507/25</v>
      </c>
      <c r="U9" s="2" t="s">
        <v>31</v>
      </c>
      <c r="V9" s="2" t="str">
        <f t="shared" si="3"/>
        <v>Коробка (UNIT)</v>
      </c>
      <c r="W9" s="2"/>
      <c r="X9" s="2">
        <v>1000</v>
      </c>
      <c r="Y9" s="2" t="str">
        <f>"Novexx_Box_Short_80x80 — пакет.for"</f>
        <v>Novexx_Box_Short_80x80 — пакет.for</v>
      </c>
    </row>
    <row r="10" spans="1:25" x14ac:dyDescent="0.25">
      <c r="A10" s="2" t="str">
        <f>"«Мини-М» MIX Bubble gum &amp; Tutti frutti, 6 кг"</f>
        <v>«Мини-М» MIX Bubble gum &amp; Tutti frutti, 6 кг</v>
      </c>
      <c r="B10" s="2" t="s">
        <v>30</v>
      </c>
      <c r="C10" s="2" t="str">
        <f t="shared" si="5"/>
        <v>нет</v>
      </c>
      <c r="D10" s="2" t="str">
        <f>"04607033644278"</f>
        <v>04607033644278</v>
      </c>
      <c r="E10" s="2" t="str">
        <f>"Сладости и кондитерские_x000D_ 
изделия (44)"</f>
        <v>Сладости и кондитерские_x000D_ 
изделия (44)</v>
      </c>
      <c r="F10" s="2" t="str">
        <f t="shared" si="0"/>
        <v>1704907100</v>
      </c>
      <c r="G10" s="2"/>
      <c r="H10" s="2" t="str">
        <f t="shared" si="1"/>
        <v>ООО «МАЛВИКЪ»</v>
      </c>
      <c r="I10" s="2" t="str">
        <f t="shared" si="1"/>
        <v>ООО «МАЛВИКЪ»</v>
      </c>
      <c r="J10" s="2">
        <v>0</v>
      </c>
      <c r="K10" s="2"/>
      <c r="L10" s="2"/>
      <c r="M10" s="2" t="str">
        <f t="shared" si="4"/>
        <v>Месяц</v>
      </c>
      <c r="N10" s="2">
        <v>12</v>
      </c>
      <c r="O10" s="2" t="s">
        <v>28</v>
      </c>
      <c r="P10" s="2"/>
      <c r="Q10" s="2"/>
      <c r="R10" s="2"/>
      <c r="S10" s="2" t="str">
        <f>"Свидетельство о государственной регистрации"</f>
        <v>Свидетельство о государственной регистрации</v>
      </c>
      <c r="T10" s="2"/>
      <c r="U10" s="2"/>
      <c r="V10" s="2" t="str">
        <f t="shared" si="3"/>
        <v>Коробка (UNIT)</v>
      </c>
      <c r="W10" s="2"/>
      <c r="X10" s="2">
        <v>6000</v>
      </c>
      <c r="Y10" s="2" t="str">
        <f>"Novexx_Box_Long_80x100.for"</f>
        <v>Novexx_Box_Long_80x100.for</v>
      </c>
    </row>
    <row r="11" spans="1:25" x14ac:dyDescent="0.25">
      <c r="A11" s="2" t="str">
        <f>"«Мини-М» Ассорти, 0.180 кг"</f>
        <v>«Мини-М» Ассорти, 0.180 кг</v>
      </c>
      <c r="B11" s="2" t="str">
        <f>"карамель леденцовая ассорти ""мини-м"""</f>
        <v>карамель леденцовая ассорти "мини-м"</v>
      </c>
      <c r="C11" s="2" t="str">
        <f t="shared" si="5"/>
        <v>нет</v>
      </c>
      <c r="D11" s="2" t="str">
        <f>"04607033640874"</f>
        <v>04607033640874</v>
      </c>
      <c r="E11" s="2" t="str">
        <f>"Сладости и кондитерские_x000D_
 изделия (4)"</f>
        <v>Сладости и кондитерские_x000D_
 изделия (4)</v>
      </c>
      <c r="F11" s="2" t="str">
        <f t="shared" si="0"/>
        <v>1704907100</v>
      </c>
      <c r="G11" s="2"/>
      <c r="H11" s="2" t="str">
        <f t="shared" si="1"/>
        <v>ООО «МАЛВИКЪ»</v>
      </c>
      <c r="I11" s="2" t="str">
        <f t="shared" si="1"/>
        <v>ООО «МАЛВИКЪ»</v>
      </c>
      <c r="J11" s="2">
        <v>0</v>
      </c>
      <c r="K11" s="2"/>
      <c r="L11" s="2"/>
      <c r="M11" s="2" t="str">
        <f t="shared" si="4"/>
        <v>Месяц</v>
      </c>
      <c r="N11" s="2">
        <v>12</v>
      </c>
      <c r="O11" s="2" t="s">
        <v>28</v>
      </c>
      <c r="P11" s="2"/>
      <c r="Q11" s="2"/>
      <c r="R11" s="2"/>
      <c r="S11" s="2" t="str">
        <f t="shared" ref="S11:S22" si="6">"Декларация о соответствии"</f>
        <v>Декларация о соответствии</v>
      </c>
      <c r="T11" s="2" t="str">
        <f t="shared" ref="T11:T22" si="7">"ЕАЭС N RU Д-RU.РА01.В.67464/24"</f>
        <v>ЕАЭС N RU Д-RU.РА01.В.67464/24</v>
      </c>
      <c r="U11" s="2" t="s">
        <v>29</v>
      </c>
      <c r="V11" s="2" t="str">
        <f t="shared" si="3"/>
        <v>Коробка (UNIT)</v>
      </c>
      <c r="W11" s="2"/>
      <c r="X11" s="2">
        <v>180</v>
      </c>
      <c r="Y11" s="2" t="str">
        <f>"Savema_ДвеДатыПартия_SHORT_32.les"</f>
        <v>Savema_ДвеДатыПартия_SHORT_32.les</v>
      </c>
    </row>
    <row r="12" spans="1:25" x14ac:dyDescent="0.25">
      <c r="A12" s="2" t="str">
        <f>"«Мини-М» Ассорти, 0.5 кг"</f>
        <v>«Мини-М» Ассорти, 0.5 кг</v>
      </c>
      <c r="B12" s="2" t="str">
        <f>"карамель леденцовая ассорти ""мини-м"""</f>
        <v>карамель леденцовая ассорти "мини-м"</v>
      </c>
      <c r="C12" s="2" t="str">
        <f t="shared" si="5"/>
        <v>нет</v>
      </c>
      <c r="D12" s="2" t="str">
        <f>"04607033644315"</f>
        <v>04607033644315</v>
      </c>
      <c r="E12" s="2" t="str">
        <f>"Сладости и кондитерские_x000D_ 
изделия (44)"</f>
        <v>Сладости и кондитерские_x000D_ 
изделия (44)</v>
      </c>
      <c r="F12" s="2" t="str">
        <f t="shared" si="0"/>
        <v>1704907100</v>
      </c>
      <c r="G12" s="2"/>
      <c r="H12" s="2" t="str">
        <f t="shared" si="1"/>
        <v>ООО «МАЛВИКЪ»</v>
      </c>
      <c r="I12" s="2" t="str">
        <f t="shared" si="1"/>
        <v>ООО «МАЛВИКЪ»</v>
      </c>
      <c r="J12" s="2">
        <v>0</v>
      </c>
      <c r="K12" s="2"/>
      <c r="L12" s="2"/>
      <c r="M12" s="2" t="str">
        <f t="shared" si="4"/>
        <v>Месяц</v>
      </c>
      <c r="N12" s="2">
        <v>12</v>
      </c>
      <c r="O12" s="2" t="s">
        <v>28</v>
      </c>
      <c r="P12" s="2"/>
      <c r="Q12" s="2"/>
      <c r="R12" s="2"/>
      <c r="S12" s="2" t="str">
        <f t="shared" si="6"/>
        <v>Декларация о соответствии</v>
      </c>
      <c r="T12" s="2" t="str">
        <f t="shared" si="7"/>
        <v>ЕАЭС N RU Д-RU.РА01.В.67464/24</v>
      </c>
      <c r="U12" s="2" t="s">
        <v>29</v>
      </c>
      <c r="V12" s="2" t="str">
        <f t="shared" si="3"/>
        <v>Коробка (UNIT)</v>
      </c>
      <c r="W12" s="2"/>
      <c r="X12" s="2">
        <v>500</v>
      </c>
      <c r="Y12" s="2" t="str">
        <f>"Novexx_Box_Long_80x80.for"</f>
        <v>Novexx_Box_Long_80x80.for</v>
      </c>
    </row>
    <row r="13" spans="1:25" x14ac:dyDescent="0.25">
      <c r="A13" s="2" t="str">
        <f>"«Мини-М» Ассорти,6 кг."</f>
        <v>«Мини-М» Ассорти,6 кг.</v>
      </c>
      <c r="B13" s="2" t="str">
        <f>"карамель леденцовая ассорти ""мини-м"""</f>
        <v>карамель леденцовая ассорти "мини-м"</v>
      </c>
      <c r="C13" s="2" t="str">
        <f t="shared" si="5"/>
        <v>нет</v>
      </c>
      <c r="D13" s="2" t="str">
        <f>"04607033644193"</f>
        <v>04607033644193</v>
      </c>
      <c r="E13" s="2" t="str">
        <f>"Сладости и кондитерские_x000D_
 изделия (4)"</f>
        <v>Сладости и кондитерские_x000D_
 изделия (4)</v>
      </c>
      <c r="F13" s="2" t="str">
        <f t="shared" si="0"/>
        <v>1704907100</v>
      </c>
      <c r="G13" s="2"/>
      <c r="H13" s="2" t="str">
        <f t="shared" si="1"/>
        <v>ООО «МАЛВИКЪ»</v>
      </c>
      <c r="I13" s="2" t="str">
        <f t="shared" si="1"/>
        <v>ООО «МАЛВИКЪ»</v>
      </c>
      <c r="J13" s="2">
        <v>0</v>
      </c>
      <c r="K13" s="2"/>
      <c r="L13" s="2"/>
      <c r="M13" s="2" t="str">
        <f>"Час"</f>
        <v>Час</v>
      </c>
      <c r="N13" s="2">
        <v>12</v>
      </c>
      <c r="O13" s="2" t="s">
        <v>28</v>
      </c>
      <c r="P13" s="2"/>
      <c r="Q13" s="2"/>
      <c r="R13" s="2"/>
      <c r="S13" s="2" t="str">
        <f t="shared" si="6"/>
        <v>Декларация о соответствии</v>
      </c>
      <c r="T13" s="2" t="str">
        <f t="shared" si="7"/>
        <v>ЕАЭС N RU Д-RU.РА01.В.67464/24</v>
      </c>
      <c r="U13" s="2" t="s">
        <v>29</v>
      </c>
      <c r="V13" s="2" t="str">
        <f t="shared" si="3"/>
        <v>Коробка (UNIT)</v>
      </c>
      <c r="W13" s="2" t="str">
        <f>"Гофрокороб"</f>
        <v>Гофрокороб</v>
      </c>
      <c r="X13" s="2">
        <v>6000</v>
      </c>
      <c r="Y13" s="2" t="str">
        <f>"Novexx_Box_Short_80x80.for"</f>
        <v>Novexx_Box_Short_80x80.for</v>
      </c>
    </row>
    <row r="14" spans="1:25" x14ac:dyDescent="0.25">
      <c r="A14" s="2" t="str">
        <f>"«Мини-М» Классика, 6 кг"</f>
        <v>«Мини-М» Классика, 6 кг</v>
      </c>
      <c r="B14" s="2" t="str">
        <f>"«Мини-М» Классика"</f>
        <v>«Мини-М» Классика</v>
      </c>
      <c r="C14" s="2" t="str">
        <f t="shared" si="5"/>
        <v>нет</v>
      </c>
      <c r="D14" s="2" t="str">
        <f>"04607033644155"</f>
        <v>04607033644155</v>
      </c>
      <c r="E14" s="2" t="str">
        <f t="shared" ref="E14:E24" si="8">"Сладости и кондитерские_x000D_ 
изделия (44)"</f>
        <v>Сладости и кондитерские_x000D_ 
изделия (44)</v>
      </c>
      <c r="F14" s="2" t="str">
        <f t="shared" si="0"/>
        <v>1704907100</v>
      </c>
      <c r="G14" s="2"/>
      <c r="H14" s="2" t="str">
        <f t="shared" si="1"/>
        <v>ООО «МАЛВИКЪ»</v>
      </c>
      <c r="I14" s="2" t="str">
        <f t="shared" si="1"/>
        <v>ООО «МАЛВИКЪ»</v>
      </c>
      <c r="J14" s="2">
        <v>0</v>
      </c>
      <c r="K14" s="2"/>
      <c r="L14" s="2"/>
      <c r="M14" s="2" t="str">
        <f t="shared" ref="M14:M22" si="9">"Месяц"</f>
        <v>Месяц</v>
      </c>
      <c r="N14" s="2">
        <v>12</v>
      </c>
      <c r="O14" s="2" t="s">
        <v>28</v>
      </c>
      <c r="P14" s="2"/>
      <c r="Q14" s="2"/>
      <c r="R14" s="2"/>
      <c r="S14" s="2" t="str">
        <f t="shared" si="6"/>
        <v>Декларация о соответствии</v>
      </c>
      <c r="T14" s="2" t="str">
        <f t="shared" si="7"/>
        <v>ЕАЭС N RU Д-RU.РА01.В.67464/24</v>
      </c>
      <c r="U14" s="2" t="s">
        <v>29</v>
      </c>
      <c r="V14" s="2" t="str">
        <f t="shared" si="3"/>
        <v>Коробка (UNIT)</v>
      </c>
      <c r="W14" s="2"/>
      <c r="X14" s="2">
        <v>6000</v>
      </c>
      <c r="Y14" s="2" t="str">
        <f>"Novexx_Box_Short_80x80 — пакет.for"</f>
        <v>Novexx_Box_Short_80x80 — пакет.for</v>
      </c>
    </row>
    <row r="15" spans="1:25" x14ac:dyDescent="0.25">
      <c r="A15" s="2" t="str">
        <f>"«Мини-М» Ретро, 0.150 кг"</f>
        <v>«Мини-М» Ретро, 0.150 кг</v>
      </c>
      <c r="B15" s="2" t="str">
        <f>"карамель леденцовая ""мини-м"" ретро"</f>
        <v>карамель леденцовая "мини-м" ретро</v>
      </c>
      <c r="C15" s="2" t="str">
        <f t="shared" si="5"/>
        <v>нет</v>
      </c>
      <c r="D15" s="2" t="str">
        <f>"04607033640324"</f>
        <v>04607033640324</v>
      </c>
      <c r="E15" s="2" t="str">
        <f t="shared" si="8"/>
        <v>Сладости и кондитерские_x000D_ 
изделия (44)</v>
      </c>
      <c r="F15" s="2" t="str">
        <f t="shared" si="0"/>
        <v>1704907100</v>
      </c>
      <c r="G15" s="2"/>
      <c r="H15" s="2" t="str">
        <f t="shared" si="1"/>
        <v>ООО «МАЛВИКЪ»</v>
      </c>
      <c r="I15" s="2" t="str">
        <f t="shared" si="1"/>
        <v>ООО «МАЛВИКЪ»</v>
      </c>
      <c r="J15" s="2">
        <v>0</v>
      </c>
      <c r="K15" s="2"/>
      <c r="L15" s="2"/>
      <c r="M15" s="2" t="str">
        <f t="shared" si="9"/>
        <v>Месяц</v>
      </c>
      <c r="N15" s="2">
        <v>12</v>
      </c>
      <c r="O15" s="2" t="s">
        <v>28</v>
      </c>
      <c r="P15" s="2"/>
      <c r="Q15" s="2"/>
      <c r="R15" s="2"/>
      <c r="S15" s="2" t="str">
        <f t="shared" si="6"/>
        <v>Декларация о соответствии</v>
      </c>
      <c r="T15" s="2" t="str">
        <f t="shared" si="7"/>
        <v>ЕАЭС N RU Д-RU.РА01.В.67464/24</v>
      </c>
      <c r="U15" s="2" t="s">
        <v>29</v>
      </c>
      <c r="V15" s="2" t="str">
        <f t="shared" si="3"/>
        <v>Коробка (UNIT)</v>
      </c>
      <c r="W15" s="2"/>
      <c r="X15" s="2">
        <v>150</v>
      </c>
      <c r="Y15" s="2" t="str">
        <f>"Novexx_Box_Long_80x80.for"</f>
        <v>Novexx_Box_Long_80x80.for</v>
      </c>
    </row>
    <row r="16" spans="1:25" x14ac:dyDescent="0.25">
      <c r="A16" s="2" t="str">
        <f>"«Мини-М» Ретро, 1 кг"</f>
        <v>«Мини-М» Ретро, 1 кг</v>
      </c>
      <c r="B16" s="2" t="str">
        <f>"карамель леденцовая ""мини-м"" ретро"</f>
        <v>карамель леденцовая "мини-м" ретро</v>
      </c>
      <c r="C16" s="2" t="str">
        <f t="shared" si="5"/>
        <v>нет</v>
      </c>
      <c r="D16" s="2" t="str">
        <f>"04607033643707"</f>
        <v>04607033643707</v>
      </c>
      <c r="E16" s="2" t="str">
        <f t="shared" si="8"/>
        <v>Сладости и кондитерские_x000D_ 
изделия (44)</v>
      </c>
      <c r="F16" s="2" t="str">
        <f t="shared" si="0"/>
        <v>1704907100</v>
      </c>
      <c r="G16" s="2"/>
      <c r="H16" s="2" t="str">
        <f t="shared" si="1"/>
        <v>ООО «МАЛВИКЪ»</v>
      </c>
      <c r="I16" s="2" t="str">
        <f t="shared" si="1"/>
        <v>ООО «МАЛВИКЪ»</v>
      </c>
      <c r="J16" s="2">
        <v>0</v>
      </c>
      <c r="K16" s="2"/>
      <c r="L16" s="2"/>
      <c r="M16" s="2" t="str">
        <f t="shared" si="9"/>
        <v>Месяц</v>
      </c>
      <c r="N16" s="2">
        <v>12</v>
      </c>
      <c r="O16" s="2" t="s">
        <v>28</v>
      </c>
      <c r="P16" s="2"/>
      <c r="Q16" s="2"/>
      <c r="R16" s="2"/>
      <c r="S16" s="2" t="str">
        <f t="shared" si="6"/>
        <v>Декларация о соответствии</v>
      </c>
      <c r="T16" s="2" t="str">
        <f t="shared" si="7"/>
        <v>ЕАЭС N RU Д-RU.РА01.В.67464/24</v>
      </c>
      <c r="U16" s="2" t="s">
        <v>29</v>
      </c>
      <c r="V16" s="2" t="str">
        <f t="shared" si="3"/>
        <v>Коробка (UNIT)</v>
      </c>
      <c r="W16" s="2"/>
      <c r="X16" s="2">
        <v>1000</v>
      </c>
      <c r="Y16" s="2" t="str">
        <f>"Novexx_Box_Long_80x80.for"</f>
        <v>Novexx_Box_Long_80x80.for</v>
      </c>
    </row>
    <row r="17" spans="1:25" x14ac:dyDescent="0.25">
      <c r="A17" s="2" t="str">
        <f>"«Мини-М» Ретро, 6 кг"</f>
        <v>«Мини-М» Ретро, 6 кг</v>
      </c>
      <c r="B17" s="2" t="str">
        <f>"карамель леденцовая ""мини-м"" ретро"</f>
        <v>карамель леденцовая "мини-м" ретро</v>
      </c>
      <c r="C17" s="2" t="str">
        <f t="shared" si="5"/>
        <v>нет</v>
      </c>
      <c r="D17" s="2" t="str">
        <f>"04607033644209"</f>
        <v>04607033644209</v>
      </c>
      <c r="E17" s="2" t="str">
        <f t="shared" si="8"/>
        <v>Сладости и кондитерские_x000D_ 
изделия (44)</v>
      </c>
      <c r="F17" s="2" t="str">
        <f t="shared" si="0"/>
        <v>1704907100</v>
      </c>
      <c r="G17" s="2"/>
      <c r="H17" s="2" t="str">
        <f t="shared" si="1"/>
        <v>ООО «МАЛВИКЪ»</v>
      </c>
      <c r="I17" s="2" t="str">
        <f t="shared" si="1"/>
        <v>ООО «МАЛВИКЪ»</v>
      </c>
      <c r="J17" s="2">
        <v>0</v>
      </c>
      <c r="K17" s="2"/>
      <c r="L17" s="2"/>
      <c r="M17" s="2" t="str">
        <f t="shared" si="9"/>
        <v>Месяц</v>
      </c>
      <c r="N17" s="2">
        <v>12</v>
      </c>
      <c r="O17" s="2" t="s">
        <v>28</v>
      </c>
      <c r="P17" s="2"/>
      <c r="Q17" s="2"/>
      <c r="R17" s="2"/>
      <c r="S17" s="2" t="str">
        <f t="shared" si="6"/>
        <v>Декларация о соответствии</v>
      </c>
      <c r="T17" s="2" t="str">
        <f t="shared" si="7"/>
        <v>ЕАЭС N RU Д-RU.РА01.В.67464/24</v>
      </c>
      <c r="U17" s="2" t="s">
        <v>29</v>
      </c>
      <c r="V17" s="2" t="str">
        <f t="shared" si="3"/>
        <v>Коробка (UNIT)</v>
      </c>
      <c r="W17" s="2"/>
      <c r="X17" s="2">
        <v>6000</v>
      </c>
      <c r="Y17" s="2" t="str">
        <f>"Novexx_Box_Long_80x100.for"</f>
        <v>Novexx_Box_Long_80x100.for</v>
      </c>
    </row>
    <row r="18" spans="1:25" x14ac:dyDescent="0.25">
      <c r="A18" s="2" t="str">
        <f>"«Мини-М» Сливочная, 1 кг"</f>
        <v>«Мини-М» Сливочная, 1 кг</v>
      </c>
      <c r="B18" s="2" t="str">
        <f>"карамель леденцовая ""мини-м"" сливочная"</f>
        <v>карамель леденцовая "мини-м" сливочная</v>
      </c>
      <c r="C18" s="2" t="str">
        <f t="shared" si="5"/>
        <v>нет</v>
      </c>
      <c r="D18" s="2" t="str">
        <f>"04607033643523"</f>
        <v>04607033643523</v>
      </c>
      <c r="E18" s="2" t="str">
        <f t="shared" si="8"/>
        <v>Сладости и кондитерские_x000D_ 
изделия (44)</v>
      </c>
      <c r="F18" s="2" t="str">
        <f t="shared" si="0"/>
        <v>1704907100</v>
      </c>
      <c r="G18" s="2"/>
      <c r="H18" s="2" t="str">
        <f t="shared" si="1"/>
        <v>ООО «МАЛВИКЪ»</v>
      </c>
      <c r="I18" s="2" t="str">
        <f t="shared" si="1"/>
        <v>ООО «МАЛВИКЪ»</v>
      </c>
      <c r="J18" s="2">
        <v>0</v>
      </c>
      <c r="K18" s="2"/>
      <c r="L18" s="2"/>
      <c r="M18" s="2" t="str">
        <f t="shared" si="9"/>
        <v>Месяц</v>
      </c>
      <c r="N18" s="2">
        <v>12</v>
      </c>
      <c r="O18" s="2" t="s">
        <v>28</v>
      </c>
      <c r="P18" s="2"/>
      <c r="Q18" s="2"/>
      <c r="R18" s="2"/>
      <c r="S18" s="2" t="str">
        <f t="shared" si="6"/>
        <v>Декларация о соответствии</v>
      </c>
      <c r="T18" s="2" t="str">
        <f t="shared" si="7"/>
        <v>ЕАЭС N RU Д-RU.РА01.В.67464/24</v>
      </c>
      <c r="U18" s="2" t="s">
        <v>29</v>
      </c>
      <c r="V18" s="2" t="str">
        <f t="shared" si="3"/>
        <v>Коробка (UNIT)</v>
      </c>
      <c r="W18" s="2"/>
      <c r="X18" s="2">
        <v>1000</v>
      </c>
      <c r="Y18" s="2" t="str">
        <f>"Novexx_Box_Long_80x80.for"</f>
        <v>Novexx_Box_Long_80x80.for</v>
      </c>
    </row>
    <row r="19" spans="1:25" x14ac:dyDescent="0.25">
      <c r="A19" s="2" t="str">
        <f>"«Мини-М» Сливочная, 6 кг"</f>
        <v>«Мини-М» Сливочная, 6 кг</v>
      </c>
      <c r="B19" s="2" t="str">
        <f>"карамель леденцовая ""мини-м"" сливочная"</f>
        <v>карамель леденцовая "мини-м" сливочная</v>
      </c>
      <c r="C19" s="2" t="str">
        <f t="shared" si="5"/>
        <v>нет</v>
      </c>
      <c r="D19" s="2" t="str">
        <f>"04607033644216"</f>
        <v>04607033644216</v>
      </c>
      <c r="E19" s="2" t="str">
        <f t="shared" si="8"/>
        <v>Сладости и кондитерские_x000D_ 
изделия (44)</v>
      </c>
      <c r="F19" s="2" t="str">
        <f t="shared" si="0"/>
        <v>1704907100</v>
      </c>
      <c r="G19" s="2"/>
      <c r="H19" s="2" t="str">
        <f t="shared" si="1"/>
        <v>ООО «МАЛВИКЪ»</v>
      </c>
      <c r="I19" s="2" t="str">
        <f t="shared" si="1"/>
        <v>ООО «МАЛВИКЪ»</v>
      </c>
      <c r="J19" s="2">
        <v>0</v>
      </c>
      <c r="K19" s="2"/>
      <c r="L19" s="2"/>
      <c r="M19" s="2" t="str">
        <f t="shared" si="9"/>
        <v>Месяц</v>
      </c>
      <c r="N19" s="2">
        <v>12</v>
      </c>
      <c r="O19" s="2" t="s">
        <v>28</v>
      </c>
      <c r="P19" s="2"/>
      <c r="Q19" s="2"/>
      <c r="R19" s="2"/>
      <c r="S19" s="2" t="str">
        <f t="shared" si="6"/>
        <v>Декларация о соответствии</v>
      </c>
      <c r="T19" s="2" t="str">
        <f t="shared" si="7"/>
        <v>ЕАЭС N RU Д-RU.РА01.В.67464/24</v>
      </c>
      <c r="U19" s="2" t="s">
        <v>29</v>
      </c>
      <c r="V19" s="2" t="str">
        <f t="shared" si="3"/>
        <v>Коробка (UNIT)</v>
      </c>
      <c r="W19" s="2"/>
      <c r="X19" s="2">
        <v>6000</v>
      </c>
      <c r="Y19" s="2" t="str">
        <f>"Novexx_Box_Long_80x100.for"</f>
        <v>Novexx_Box_Long_80x100.for</v>
      </c>
    </row>
    <row r="20" spans="1:25" x14ac:dyDescent="0.25">
      <c r="A20" s="2" t="str">
        <f>"«Мини-М» Тропик, 0.150 кг"</f>
        <v>«Мини-М» Тропик, 0.150 кг</v>
      </c>
      <c r="B20" s="2" t="str">
        <f>"карамель леденцовая ""мини-м"" тропик"</f>
        <v>карамель леденцовая "мини-м" тропик</v>
      </c>
      <c r="C20" s="2" t="str">
        <f t="shared" si="5"/>
        <v>нет</v>
      </c>
      <c r="D20" s="2" t="str">
        <f>"04607033640300"</f>
        <v>04607033640300</v>
      </c>
      <c r="E20" s="2" t="str">
        <f t="shared" si="8"/>
        <v>Сладости и кондитерские_x000D_ 
изделия (44)</v>
      </c>
      <c r="F20" s="2" t="str">
        <f t="shared" si="0"/>
        <v>1704907100</v>
      </c>
      <c r="G20" s="2"/>
      <c r="H20" s="2" t="str">
        <f t="shared" si="1"/>
        <v>ООО «МАЛВИКЪ»</v>
      </c>
      <c r="I20" s="2" t="str">
        <f t="shared" si="1"/>
        <v>ООО «МАЛВИКЪ»</v>
      </c>
      <c r="J20" s="2">
        <v>0</v>
      </c>
      <c r="K20" s="2"/>
      <c r="L20" s="2"/>
      <c r="M20" s="2" t="str">
        <f t="shared" si="9"/>
        <v>Месяц</v>
      </c>
      <c r="N20" s="2">
        <v>12</v>
      </c>
      <c r="O20" s="2" t="s">
        <v>28</v>
      </c>
      <c r="P20" s="2"/>
      <c r="Q20" s="2"/>
      <c r="R20" s="2"/>
      <c r="S20" s="2" t="str">
        <f t="shared" si="6"/>
        <v>Декларация о соответствии</v>
      </c>
      <c r="T20" s="2" t="str">
        <f t="shared" si="7"/>
        <v>ЕАЭС N RU Д-RU.РА01.В.67464/24</v>
      </c>
      <c r="U20" s="2" t="s">
        <v>29</v>
      </c>
      <c r="V20" s="2" t="str">
        <f t="shared" si="3"/>
        <v>Коробка (UNIT)</v>
      </c>
      <c r="W20" s="2"/>
      <c r="X20" s="2">
        <v>150</v>
      </c>
      <c r="Y20" s="2" t="str">
        <f>"Novexx_Box_Long_80x80.for"</f>
        <v>Novexx_Box_Long_80x80.for</v>
      </c>
    </row>
    <row r="21" spans="1:25" x14ac:dyDescent="0.25">
      <c r="A21" s="2" t="str">
        <f>"«Мини-М» Тропик, 1 кг"</f>
        <v>«Мини-М» Тропик, 1 кг</v>
      </c>
      <c r="B21" s="2" t="str">
        <f>"карамель леденцовая ""мини-м"" тропик"</f>
        <v>карамель леденцовая "мини-м" тропик</v>
      </c>
      <c r="C21" s="2" t="str">
        <f t="shared" si="5"/>
        <v>нет</v>
      </c>
      <c r="D21" s="2" t="str">
        <f>"04607033643684"</f>
        <v>04607033643684</v>
      </c>
      <c r="E21" s="2" t="str">
        <f t="shared" si="8"/>
        <v>Сладости и кондитерские_x000D_ 
изделия (44)</v>
      </c>
      <c r="F21" s="2" t="str">
        <f t="shared" si="0"/>
        <v>1704907100</v>
      </c>
      <c r="G21" s="2"/>
      <c r="H21" s="2" t="str">
        <f t="shared" si="1"/>
        <v>ООО «МАЛВИКЪ»</v>
      </c>
      <c r="I21" s="2" t="str">
        <f t="shared" si="1"/>
        <v>ООО «МАЛВИКЪ»</v>
      </c>
      <c r="J21" s="2">
        <v>0</v>
      </c>
      <c r="K21" s="2"/>
      <c r="L21" s="2"/>
      <c r="M21" s="2" t="str">
        <f t="shared" si="9"/>
        <v>Месяц</v>
      </c>
      <c r="N21" s="2">
        <v>12</v>
      </c>
      <c r="O21" s="2" t="s">
        <v>28</v>
      </c>
      <c r="P21" s="2"/>
      <c r="Q21" s="2"/>
      <c r="R21" s="2"/>
      <c r="S21" s="2" t="str">
        <f t="shared" si="6"/>
        <v>Декларация о соответствии</v>
      </c>
      <c r="T21" s="2" t="str">
        <f t="shared" si="7"/>
        <v>ЕАЭС N RU Д-RU.РА01.В.67464/24</v>
      </c>
      <c r="U21" s="2" t="s">
        <v>29</v>
      </c>
      <c r="V21" s="2" t="str">
        <f t="shared" si="3"/>
        <v>Коробка (UNIT)</v>
      </c>
      <c r="W21" s="2"/>
      <c r="X21" s="2">
        <v>1000</v>
      </c>
      <c r="Y21" s="2" t="str">
        <f>"Novexx_Box_Long_80x80.for"</f>
        <v>Novexx_Box_Long_80x80.for</v>
      </c>
    </row>
    <row r="22" spans="1:25" x14ac:dyDescent="0.25">
      <c r="A22" s="2" t="str">
        <f>"«Мини-М» Тропик, 6 кг"</f>
        <v>«Мини-М» Тропик, 6 кг</v>
      </c>
      <c r="B22" s="2" t="str">
        <f>"карамель леденцовая ""мини-м"" тропик"</f>
        <v>карамель леденцовая "мини-м" тропик</v>
      </c>
      <c r="C22" s="2" t="str">
        <f t="shared" si="5"/>
        <v>нет</v>
      </c>
      <c r="D22" s="2" t="str">
        <f>"04607033644223"</f>
        <v>04607033644223</v>
      </c>
      <c r="E22" s="2" t="str">
        <f t="shared" si="8"/>
        <v>Сладости и кондитерские_x000D_ 
изделия (44)</v>
      </c>
      <c r="F22" s="2" t="str">
        <f t="shared" si="0"/>
        <v>1704907100</v>
      </c>
      <c r="G22" s="2"/>
      <c r="H22" s="2" t="str">
        <f t="shared" si="1"/>
        <v>ООО «МАЛВИКЪ»</v>
      </c>
      <c r="I22" s="2" t="str">
        <f t="shared" si="1"/>
        <v>ООО «МАЛВИКЪ»</v>
      </c>
      <c r="J22" s="2">
        <v>0</v>
      </c>
      <c r="K22" s="2"/>
      <c r="L22" s="2"/>
      <c r="M22" s="2" t="str">
        <f t="shared" si="9"/>
        <v>Месяц</v>
      </c>
      <c r="N22" s="2">
        <v>12</v>
      </c>
      <c r="O22" s="2" t="s">
        <v>28</v>
      </c>
      <c r="P22" s="2"/>
      <c r="Q22" s="2"/>
      <c r="R22" s="2"/>
      <c r="S22" s="2" t="str">
        <f t="shared" si="6"/>
        <v>Декларация о соответствии</v>
      </c>
      <c r="T22" s="2" t="str">
        <f t="shared" si="7"/>
        <v>ЕАЭС N RU Д-RU.РА01.В.67464/24</v>
      </c>
      <c r="U22" s="2" t="s">
        <v>29</v>
      </c>
      <c r="V22" s="2" t="str">
        <f t="shared" si="3"/>
        <v>Коробка (UNIT)</v>
      </c>
      <c r="W22" s="2"/>
      <c r="X22" s="2">
        <v>6000</v>
      </c>
      <c r="Y22" s="2" t="str">
        <f>"Novexx_Box_Long_80x100.for"</f>
        <v>Novexx_Box_Long_80x100.for</v>
      </c>
    </row>
    <row r="23" spans="1:25" x14ac:dyDescent="0.25">
      <c r="A23" s="2" t="str">
        <f>"арт.04607033643240[x6.00]"</f>
        <v>арт.04607033643240[x6.00]</v>
      </c>
      <c r="B23" s="2" t="str">
        <f>"Карамель леденцовая ""мини-м"" Классика 6X"</f>
        <v>Карамель леденцовая "мини-м" Классика 6X</v>
      </c>
      <c r="C23" s="2" t="str">
        <f>"ТМ МАЛВИКЪ"</f>
        <v>ТМ МАЛВИКЪ</v>
      </c>
      <c r="D23" s="2" t="str">
        <f>"04607033643240"</f>
        <v>04607033643240</v>
      </c>
      <c r="E23" s="2" t="str">
        <f t="shared" si="8"/>
        <v>Сладости и кондитерские_x000D_ 
изделия (44)</v>
      </c>
      <c r="F23" s="2" t="str">
        <f t="shared" si="0"/>
        <v>1704907100</v>
      </c>
      <c r="G23" s="2"/>
      <c r="H23" s="2" t="str">
        <f t="shared" si="1"/>
        <v>ООО «МАЛВИКЪ»</v>
      </c>
      <c r="I23" s="2" t="str">
        <f t="shared" si="1"/>
        <v>ООО «МАЛВИКЪ»</v>
      </c>
      <c r="J23" s="2">
        <v>0</v>
      </c>
      <c r="K23" s="2" t="str">
        <f>"артикул"</f>
        <v>артикул</v>
      </c>
      <c r="L23" s="2" t="str">
        <f>"4607033643240"</f>
        <v>4607033643240</v>
      </c>
      <c r="M23" s="2"/>
      <c r="N23" s="2"/>
      <c r="O23" s="2"/>
      <c r="P23" s="2"/>
      <c r="Q23" s="2"/>
      <c r="R23" s="2"/>
      <c r="S23" s="2"/>
      <c r="T23" s="2"/>
      <c r="U23" s="2"/>
      <c r="V23" s="2" t="str">
        <f>"Групповая упаковка (GROUP)"</f>
        <v>Групповая упаковка (GROUP)</v>
      </c>
      <c r="W23" s="2"/>
      <c r="X23" s="2"/>
      <c r="Y23" s="2" t="str">
        <f>"Box_25x25.zpl"</f>
        <v>Box_25x25.zpl</v>
      </c>
    </row>
    <row r="24" spans="1:25" x14ac:dyDescent="0.25">
      <c r="A24" s="2" t="str">
        <f>"А-Форинтек тест"</f>
        <v>А-Форинтек тест</v>
      </c>
      <c r="B24" s="2" t="str">
        <f>"Тест"</f>
        <v>Тест</v>
      </c>
      <c r="C24" s="2"/>
      <c r="D24" s="2" t="str">
        <f>"04607005570406"</f>
        <v>04607005570406</v>
      </c>
      <c r="E24" s="2" t="str">
        <f t="shared" si="8"/>
        <v>Сладости и кондитерские_x000D_ 
изделия (44)</v>
      </c>
      <c r="F24" s="2" t="str">
        <f>"1234567890"</f>
        <v>1234567890</v>
      </c>
      <c r="G24" s="2"/>
      <c r="H24" s="2" t="str">
        <f t="shared" si="1"/>
        <v>ООО «МАЛВИКЪ»</v>
      </c>
      <c r="I24" s="2" t="str">
        <f t="shared" si="1"/>
        <v>ООО «МАЛВИКЪ»</v>
      </c>
      <c r="J24" s="2">
        <v>0</v>
      </c>
      <c r="K24" s="2"/>
      <c r="L24" s="2"/>
      <c r="M24" s="2" t="str">
        <f>"Год"</f>
        <v>Год</v>
      </c>
      <c r="N24" s="2">
        <v>1</v>
      </c>
      <c r="O24" s="2"/>
      <c r="P24" s="2"/>
      <c r="Q24" s="2"/>
      <c r="R24" s="2"/>
      <c r="S24" s="2"/>
      <c r="T24" s="2"/>
      <c r="U24" s="2"/>
      <c r="V24" s="2" t="str">
        <f t="shared" ref="V24:V55" si="10">"Коробка (UNIT)"</f>
        <v>Коробка (UNIT)</v>
      </c>
      <c r="W24" s="2"/>
      <c r="X24" s="2"/>
      <c r="Y24" s="2" t="str">
        <f>"Novexx_Box_Long_80x100.for"</f>
        <v>Novexx_Box_Long_80x100.for</v>
      </c>
    </row>
    <row r="25" spans="1:25" x14ac:dyDescent="0.25">
      <c r="A25" s="2" t="s">
        <v>32</v>
      </c>
      <c r="B25" s="2" t="s">
        <v>32</v>
      </c>
      <c r="C25" s="2"/>
      <c r="D25" s="2" t="str">
        <f>"04607033646425"</f>
        <v>04607033646425</v>
      </c>
      <c r="E25" s="2" t="str">
        <f>"Сладости и кондитерские_x000D_
 изделия (4)"</f>
        <v>Сладости и кондитерские_x000D_
 изделия (4)</v>
      </c>
      <c r="F25" s="2" t="str">
        <f>"2106909300"</f>
        <v>2106909300</v>
      </c>
      <c r="G25" s="2"/>
      <c r="H25" s="2" t="str">
        <f t="shared" si="1"/>
        <v>ООО «МАЛВИКЪ»</v>
      </c>
      <c r="I25" s="2" t="str">
        <f t="shared" si="1"/>
        <v>ООО «МАЛВИКЪ»</v>
      </c>
      <c r="J25" s="2">
        <v>0</v>
      </c>
      <c r="K25" s="2"/>
      <c r="L25" s="2" t="str">
        <f>"04607033646425"</f>
        <v>04607033646425</v>
      </c>
      <c r="M25" s="2" t="str">
        <f>"Месяц"</f>
        <v>Месяц</v>
      </c>
      <c r="N25" s="2">
        <v>12</v>
      </c>
      <c r="O25" s="2" t="s">
        <v>33</v>
      </c>
      <c r="P25" s="2"/>
      <c r="Q25" s="2"/>
      <c r="R25" s="2"/>
      <c r="S25" s="2"/>
      <c r="T25" s="2"/>
      <c r="U25" s="2"/>
      <c r="V25" s="2" t="str">
        <f t="shared" si="10"/>
        <v>Коробка (UNIT)</v>
      </c>
      <c r="W25" s="2" t="str">
        <f>"Пакет"</f>
        <v>Пакет</v>
      </c>
      <c r="X25" s="2"/>
      <c r="Y25" s="2" t="str">
        <f>"Novexx_Box_Short_80x80 — пакет.for"</f>
        <v>Novexx_Box_Short_80x80 — пакет.for</v>
      </c>
    </row>
    <row r="26" spans="1:25" x14ac:dyDescent="0.25">
      <c r="A26" s="2" t="s">
        <v>34</v>
      </c>
      <c r="B26" s="2" t="s">
        <v>35</v>
      </c>
      <c r="C26" s="2"/>
      <c r="D26" s="2" t="str">
        <f>"04670072491660"</f>
        <v>04670072491660</v>
      </c>
      <c r="E26" s="2" t="str">
        <f t="shared" ref="E26:E34" si="11">"Сладости и кондитерские_x000D_ 
изделия (44)"</f>
        <v>Сладости и кондитерские_x000D_ 
изделия (44)</v>
      </c>
      <c r="F26" s="2" t="str">
        <f t="shared" ref="F26:F41" si="12">"1704907100"</f>
        <v>1704907100</v>
      </c>
      <c r="G26" s="2"/>
      <c r="H26" s="2" t="str">
        <f>"ООО ""КОМУС"""</f>
        <v>ООО "КОМУС"</v>
      </c>
      <c r="I26" s="2" t="str">
        <f t="shared" ref="I26:I57" si="13">"ООО «МАЛВИКЪ»"</f>
        <v>ООО «МАЛВИКЪ»</v>
      </c>
      <c r="J26" s="2">
        <v>0</v>
      </c>
      <c r="K26" s="2"/>
      <c r="L26" s="2"/>
      <c r="M26" s="2"/>
      <c r="N26" s="2"/>
      <c r="O26" s="2"/>
      <c r="P26" s="2"/>
      <c r="Q26" s="2"/>
      <c r="R26" s="2"/>
      <c r="S26" s="2" t="str">
        <f t="shared" ref="S26:S39" si="14">"Декларация о соответствии"</f>
        <v>Декларация о соответствии</v>
      </c>
      <c r="T26" s="2" t="str">
        <f>"ЕАЭС N RU Д-RU.РА01.В.67464/24"</f>
        <v>ЕАЭС N RU Д-RU.РА01.В.67464/24</v>
      </c>
      <c r="U26" s="2" t="s">
        <v>29</v>
      </c>
      <c r="V26" s="2" t="str">
        <f t="shared" si="10"/>
        <v>Коробка (UNIT)</v>
      </c>
      <c r="W26" s="2"/>
      <c r="X26" s="2">
        <v>500</v>
      </c>
      <c r="Y26" s="2" t="str">
        <f t="shared" ref="Y26:Y39" si="15">"Novexx_Box_Long_80x100.for"</f>
        <v>Novexx_Box_Long_80x100.for</v>
      </c>
    </row>
    <row r="27" spans="1:25" x14ac:dyDescent="0.25">
      <c r="A27" s="2" t="s">
        <v>36</v>
      </c>
      <c r="B27" s="2" t="s">
        <v>37</v>
      </c>
      <c r="C27" s="2"/>
      <c r="D27" s="2" t="str">
        <f>"04670323906103"</f>
        <v>04670323906103</v>
      </c>
      <c r="E27" s="2" t="str">
        <f t="shared" si="11"/>
        <v>Сладости и кондитерские_x000D_ 
изделия (44)</v>
      </c>
      <c r="F27" s="2" t="str">
        <f t="shared" si="12"/>
        <v>1704907100</v>
      </c>
      <c r="G27" s="2"/>
      <c r="H27" s="2" t="str">
        <f>"ООО ""КОМУС"""</f>
        <v>ООО "КОМУС"</v>
      </c>
      <c r="I27" s="2" t="str">
        <f t="shared" si="13"/>
        <v>ООО «МАЛВИКЪ»</v>
      </c>
      <c r="J27" s="2">
        <v>0</v>
      </c>
      <c r="K27" s="2"/>
      <c r="L27" s="2"/>
      <c r="M27" s="2"/>
      <c r="N27" s="2"/>
      <c r="O27" s="2"/>
      <c r="P27" s="2"/>
      <c r="Q27" s="2"/>
      <c r="R27" s="2"/>
      <c r="S27" s="2" t="str">
        <f t="shared" si="14"/>
        <v>Декларация о соответствии</v>
      </c>
      <c r="T27" s="2" t="str">
        <f>"ЕАЭС N RU Д-RU.РА01.В.61987/24"</f>
        <v>ЕАЭС N RU Д-RU.РА01.В.61987/24</v>
      </c>
      <c r="U27" s="2" t="s">
        <v>29</v>
      </c>
      <c r="V27" s="2" t="str">
        <f t="shared" si="10"/>
        <v>Коробка (UNIT)</v>
      </c>
      <c r="W27" s="2"/>
      <c r="X27" s="2">
        <v>2000</v>
      </c>
      <c r="Y27" s="2" t="str">
        <f t="shared" si="15"/>
        <v>Novexx_Box_Long_80x100.for</v>
      </c>
    </row>
    <row r="28" spans="1:25" x14ac:dyDescent="0.25">
      <c r="A28" s="2" t="s">
        <v>38</v>
      </c>
      <c r="B28" s="2" t="s">
        <v>39</v>
      </c>
      <c r="C28" s="2"/>
      <c r="D28" s="2" t="str">
        <f>"04670323906097"</f>
        <v>04670323906097</v>
      </c>
      <c r="E28" s="2" t="str">
        <f t="shared" si="11"/>
        <v>Сладости и кондитерские_x000D_ 
изделия (44)</v>
      </c>
      <c r="F28" s="2" t="str">
        <f t="shared" si="12"/>
        <v>1704907100</v>
      </c>
      <c r="G28" s="2"/>
      <c r="H28" s="2" t="str">
        <f>"ООО ""КОМУС"""</f>
        <v>ООО "КОМУС"</v>
      </c>
      <c r="I28" s="2" t="str">
        <f t="shared" si="13"/>
        <v>ООО «МАЛВИКЪ»</v>
      </c>
      <c r="J28" s="2">
        <v>0</v>
      </c>
      <c r="K28" s="2"/>
      <c r="L28" s="2"/>
      <c r="M28" s="2"/>
      <c r="N28" s="2"/>
      <c r="O28" s="2"/>
      <c r="P28" s="2"/>
      <c r="Q28" s="2"/>
      <c r="R28" s="2"/>
      <c r="S28" s="2" t="str">
        <f t="shared" si="14"/>
        <v>Декларация о соответствии</v>
      </c>
      <c r="T28" s="2" t="str">
        <f>"ЕАЭС N RU Д-RU.РА01.В.61987/24"</f>
        <v>ЕАЭС N RU Д-RU.РА01.В.61987/24</v>
      </c>
      <c r="U28" s="2" t="s">
        <v>29</v>
      </c>
      <c r="V28" s="2" t="str">
        <f t="shared" si="10"/>
        <v>Коробка (UNIT)</v>
      </c>
      <c r="W28" s="2"/>
      <c r="X28" s="2">
        <v>500</v>
      </c>
      <c r="Y28" s="2" t="str">
        <f t="shared" si="15"/>
        <v>Novexx_Box_Long_80x100.for</v>
      </c>
    </row>
    <row r="29" spans="1:25" x14ac:dyDescent="0.25">
      <c r="A29" s="2" t="s">
        <v>40</v>
      </c>
      <c r="B29" s="2" t="s">
        <v>41</v>
      </c>
      <c r="C29" s="2"/>
      <c r="D29" s="2" t="str">
        <f>"04670072491677"</f>
        <v>04670072491677</v>
      </c>
      <c r="E29" s="2" t="str">
        <f t="shared" si="11"/>
        <v>Сладости и кондитерские_x000D_ 
изделия (44)</v>
      </c>
      <c r="F29" s="2" t="str">
        <f t="shared" si="12"/>
        <v>1704907100</v>
      </c>
      <c r="G29" s="2"/>
      <c r="H29" s="2" t="str">
        <f>"ООО ""КОМУС"""</f>
        <v>ООО "КОМУС"</v>
      </c>
      <c r="I29" s="2" t="str">
        <f t="shared" si="13"/>
        <v>ООО «МАЛВИКЪ»</v>
      </c>
      <c r="J29" s="2">
        <v>0</v>
      </c>
      <c r="K29" s="2"/>
      <c r="L29" s="2"/>
      <c r="M29" s="2"/>
      <c r="N29" s="2"/>
      <c r="O29" s="2"/>
      <c r="P29" s="2"/>
      <c r="Q29" s="2"/>
      <c r="R29" s="2"/>
      <c r="S29" s="2" t="str">
        <f t="shared" si="14"/>
        <v>Декларация о соответствии</v>
      </c>
      <c r="T29" s="2" t="str">
        <f>"ЕАЭС N RU Д-RU.РА01.В.67464/24"</f>
        <v>ЕАЭС N RU Д-RU.РА01.В.67464/24</v>
      </c>
      <c r="U29" s="2" t="s">
        <v>29</v>
      </c>
      <c r="V29" s="2" t="str">
        <f t="shared" si="10"/>
        <v>Коробка (UNIT)</v>
      </c>
      <c r="W29" s="2"/>
      <c r="X29" s="2">
        <v>500</v>
      </c>
      <c r="Y29" s="2" t="str">
        <f t="shared" si="15"/>
        <v>Novexx_Box_Long_80x100.for</v>
      </c>
    </row>
    <row r="30" spans="1:25" x14ac:dyDescent="0.25">
      <c r="A30" s="2" t="str">
        <f>"карамель ""sweet rings"" drinks (04607033642038)"</f>
        <v>карамель "sweet rings" drinks (04607033642038)</v>
      </c>
      <c r="B30" s="2" t="str">
        <f>"карамель ""sweet rings"" drinks"</f>
        <v>карамель "sweet rings" drinks</v>
      </c>
      <c r="C30" s="2" t="str">
        <f t="shared" ref="C30:C35" si="16">"ТМ МАЛВИКЪ"</f>
        <v>ТМ МАЛВИКЪ</v>
      </c>
      <c r="D30" s="2" t="str">
        <f>"04607033642038"</f>
        <v>04607033642038</v>
      </c>
      <c r="E30" s="2" t="str">
        <f t="shared" si="11"/>
        <v>Сладости и кондитерские_x000D_ 
изделия (44)</v>
      </c>
      <c r="F30" s="2" t="str">
        <f t="shared" si="12"/>
        <v>1704907100</v>
      </c>
      <c r="G30" s="2"/>
      <c r="H30" s="2" t="str">
        <f t="shared" ref="H30:H61" si="17">"ООО «МАЛВИКЪ»"</f>
        <v>ООО «МАЛВИКЪ»</v>
      </c>
      <c r="I30" s="2" t="str">
        <f t="shared" si="13"/>
        <v>ООО «МАЛВИКЪ»</v>
      </c>
      <c r="J30" s="2">
        <v>0</v>
      </c>
      <c r="K30" s="2"/>
      <c r="L30" s="2"/>
      <c r="M30" s="2"/>
      <c r="N30" s="2"/>
      <c r="O30" s="2"/>
      <c r="P30" s="2"/>
      <c r="Q30" s="2"/>
      <c r="R30" s="2"/>
      <c r="S30" s="2" t="str">
        <f t="shared" si="14"/>
        <v>Декларация о соответствии</v>
      </c>
      <c r="T30" s="2" t="str">
        <f>"ЕАЭС N RU Д-RU.РА04.В.50071/23"</f>
        <v>ЕАЭС N RU Д-RU.РА04.В.50071/23</v>
      </c>
      <c r="U30" s="2" t="s">
        <v>42</v>
      </c>
      <c r="V30" s="2" t="str">
        <f t="shared" si="10"/>
        <v>Коробка (UNIT)</v>
      </c>
      <c r="W30" s="2"/>
      <c r="X30" s="2">
        <v>180</v>
      </c>
      <c r="Y30" s="2" t="str">
        <f t="shared" si="15"/>
        <v>Novexx_Box_Long_80x100.for</v>
      </c>
    </row>
    <row r="31" spans="1:25" x14ac:dyDescent="0.25">
      <c r="A31" s="2" t="str">
        <f>"карамель ""sweet rings"" mix (04607033642007)"</f>
        <v>карамель "sweet rings" mix (04607033642007)</v>
      </c>
      <c r="B31" s="2" t="str">
        <f>"карамель ""sweet rings"" mix"</f>
        <v>карамель "sweet rings" mix</v>
      </c>
      <c r="C31" s="2" t="str">
        <f t="shared" si="16"/>
        <v>ТМ МАЛВИКЪ</v>
      </c>
      <c r="D31" s="2" t="str">
        <f>"04607033642007"</f>
        <v>04607033642007</v>
      </c>
      <c r="E31" s="2" t="str">
        <f t="shared" si="11"/>
        <v>Сладости и кондитерские_x000D_ 
изделия (44)</v>
      </c>
      <c r="F31" s="2" t="str">
        <f t="shared" si="12"/>
        <v>1704907100</v>
      </c>
      <c r="G31" s="2"/>
      <c r="H31" s="2" t="str">
        <f t="shared" si="17"/>
        <v>ООО «МАЛВИКЪ»</v>
      </c>
      <c r="I31" s="2" t="str">
        <f t="shared" si="13"/>
        <v>ООО «МАЛВИКЪ»</v>
      </c>
      <c r="J31" s="2">
        <v>0</v>
      </c>
      <c r="K31" s="2"/>
      <c r="L31" s="2"/>
      <c r="M31" s="2"/>
      <c r="N31" s="2"/>
      <c r="O31" s="2"/>
      <c r="P31" s="2"/>
      <c r="Q31" s="2"/>
      <c r="R31" s="2"/>
      <c r="S31" s="2" t="str">
        <f t="shared" si="14"/>
        <v>Декларация о соответствии</v>
      </c>
      <c r="T31" s="2" t="str">
        <f>"ЕАЭС N RU Д-RU.РА04.В.50071/23"</f>
        <v>ЕАЭС N RU Д-RU.РА04.В.50071/23</v>
      </c>
      <c r="U31" s="2" t="s">
        <v>42</v>
      </c>
      <c r="V31" s="2" t="str">
        <f t="shared" si="10"/>
        <v>Коробка (UNIT)</v>
      </c>
      <c r="W31" s="2"/>
      <c r="X31" s="2">
        <v>180</v>
      </c>
      <c r="Y31" s="2" t="str">
        <f t="shared" si="15"/>
        <v>Novexx_Box_Long_80x100.for</v>
      </c>
    </row>
    <row r="32" spans="1:25" x14ac:dyDescent="0.25">
      <c r="A32" s="2" t="str">
        <f>"карамель ""Акварельки"" ассорти (04607033640997)"</f>
        <v>карамель "Акварельки" ассорти (04607033640997)</v>
      </c>
      <c r="B32" s="2" t="str">
        <f>"карамель ""Акварельки"" ассорти"</f>
        <v>карамель "Акварельки" ассорти</v>
      </c>
      <c r="C32" s="2" t="str">
        <f t="shared" si="16"/>
        <v>ТМ МАЛВИКЪ</v>
      </c>
      <c r="D32" s="2" t="str">
        <f>"04607033640997"</f>
        <v>04607033640997</v>
      </c>
      <c r="E32" s="2" t="str">
        <f t="shared" si="11"/>
        <v>Сладости и кондитерские_x000D_ 
изделия (44)</v>
      </c>
      <c r="F32" s="2" t="str">
        <f t="shared" si="12"/>
        <v>1704907100</v>
      </c>
      <c r="G32" s="2"/>
      <c r="H32" s="2" t="str">
        <f t="shared" si="17"/>
        <v>ООО «МАЛВИКЪ»</v>
      </c>
      <c r="I32" s="2" t="str">
        <f t="shared" si="13"/>
        <v>ООО «МАЛВИКЪ»</v>
      </c>
      <c r="J32" s="2">
        <v>0</v>
      </c>
      <c r="K32" s="2"/>
      <c r="L32" s="2"/>
      <c r="M32" s="2"/>
      <c r="N32" s="2"/>
      <c r="O32" s="2"/>
      <c r="P32" s="2"/>
      <c r="Q32" s="2"/>
      <c r="R32" s="2"/>
      <c r="S32" s="2" t="str">
        <f t="shared" si="14"/>
        <v>Декларация о соответствии</v>
      </c>
      <c r="T32" s="2" t="str">
        <f>"ЕАЭС N RU Д-RU.РА01.В.67464/24"</f>
        <v>ЕАЭС N RU Д-RU.РА01.В.67464/24</v>
      </c>
      <c r="U32" s="2" t="s">
        <v>29</v>
      </c>
      <c r="V32" s="2" t="str">
        <f t="shared" si="10"/>
        <v>Коробка (UNIT)</v>
      </c>
      <c r="W32" s="2"/>
      <c r="X32" s="2">
        <v>150</v>
      </c>
      <c r="Y32" s="2" t="str">
        <f t="shared" si="15"/>
        <v>Novexx_Box_Long_80x100.for</v>
      </c>
    </row>
    <row r="33" spans="1:25" x14ac:dyDescent="0.25">
      <c r="A33" s="2" t="s">
        <v>43</v>
      </c>
      <c r="B33" s="2" t="str">
        <f>"карамель ""АМ-МИ"" фруктовое ассорти"</f>
        <v>карамель "АМ-МИ" фруктовое ассорти</v>
      </c>
      <c r="C33" s="2" t="str">
        <f t="shared" si="16"/>
        <v>ТМ МАЛВИКЪ</v>
      </c>
      <c r="D33" s="2" t="str">
        <f>"04607033641376"</f>
        <v>04607033641376</v>
      </c>
      <c r="E33" s="2" t="str">
        <f t="shared" si="11"/>
        <v>Сладости и кондитерские_x000D_ 
изделия (44)</v>
      </c>
      <c r="F33" s="2" t="str">
        <f t="shared" si="12"/>
        <v>1704907100</v>
      </c>
      <c r="G33" s="2"/>
      <c r="H33" s="2" t="str">
        <f t="shared" si="17"/>
        <v>ООО «МАЛВИКЪ»</v>
      </c>
      <c r="I33" s="2" t="str">
        <f t="shared" si="13"/>
        <v>ООО «МАЛВИКЪ»</v>
      </c>
      <c r="J33" s="2">
        <v>0</v>
      </c>
      <c r="K33" s="2"/>
      <c r="L33" s="2"/>
      <c r="M33" s="2"/>
      <c r="N33" s="2"/>
      <c r="O33" s="2"/>
      <c r="P33" s="2"/>
      <c r="Q33" s="2"/>
      <c r="R33" s="2"/>
      <c r="S33" s="2" t="str">
        <f t="shared" si="14"/>
        <v>Декларация о соответствии</v>
      </c>
      <c r="T33" s="2" t="str">
        <f>"ЕАЭС N RU Д-RU.РА01.В.67464/24"</f>
        <v>ЕАЭС N RU Д-RU.РА01.В.67464/24</v>
      </c>
      <c r="U33" s="2" t="s">
        <v>29</v>
      </c>
      <c r="V33" s="2" t="str">
        <f t="shared" si="10"/>
        <v>Коробка (UNIT)</v>
      </c>
      <c r="W33" s="2"/>
      <c r="X33" s="2">
        <v>1000</v>
      </c>
      <c r="Y33" s="2" t="str">
        <f t="shared" si="15"/>
        <v>Novexx_Box_Long_80x100.for</v>
      </c>
    </row>
    <row r="34" spans="1:25" x14ac:dyDescent="0.25">
      <c r="A34" s="2" t="s">
        <v>44</v>
      </c>
      <c r="B34" s="2" t="str">
        <f>"карамель ""АМ-МИ"" фруктовое ассорти"</f>
        <v>карамель "АМ-МИ" фруктовое ассорти</v>
      </c>
      <c r="C34" s="2" t="str">
        <f t="shared" si="16"/>
        <v>ТМ МАЛВИКЪ</v>
      </c>
      <c r="D34" s="2" t="str">
        <f>"04607033641482"</f>
        <v>04607033641482</v>
      </c>
      <c r="E34" s="2" t="str">
        <f t="shared" si="11"/>
        <v>Сладости и кондитерские_x000D_ 
изделия (44)</v>
      </c>
      <c r="F34" s="2" t="str">
        <f t="shared" si="12"/>
        <v>1704907100</v>
      </c>
      <c r="G34" s="2"/>
      <c r="H34" s="2" t="str">
        <f t="shared" si="17"/>
        <v>ООО «МАЛВИКЪ»</v>
      </c>
      <c r="I34" s="2" t="str">
        <f t="shared" si="13"/>
        <v>ООО «МАЛВИКЪ»</v>
      </c>
      <c r="J34" s="2">
        <v>0</v>
      </c>
      <c r="K34" s="2"/>
      <c r="L34" s="2"/>
      <c r="M34" s="2"/>
      <c r="N34" s="2"/>
      <c r="O34" s="2"/>
      <c r="P34" s="2"/>
      <c r="Q34" s="2"/>
      <c r="R34" s="2"/>
      <c r="S34" s="2" t="str">
        <f t="shared" si="14"/>
        <v>Декларация о соответствии</v>
      </c>
      <c r="T34" s="2" t="str">
        <f>"ЕАЭС N RU Д-RU.РА01.В.67464/24"</f>
        <v>ЕАЭС N RU Д-RU.РА01.В.67464/24</v>
      </c>
      <c r="U34" s="2" t="s">
        <v>29</v>
      </c>
      <c r="V34" s="2" t="str">
        <f t="shared" si="10"/>
        <v>Коробка (UNIT)</v>
      </c>
      <c r="W34" s="2"/>
      <c r="X34" s="2">
        <v>180</v>
      </c>
      <c r="Y34" s="2" t="str">
        <f t="shared" si="15"/>
        <v>Novexx_Box_Long_80x100.for</v>
      </c>
    </row>
    <row r="35" spans="1:25" x14ac:dyDescent="0.25">
      <c r="A35" s="2" t="str">
        <f>"карамель ""мини-акварельки"" (04607033641345)"</f>
        <v>карамель "мини-акварельки" (04607033641345)</v>
      </c>
      <c r="B35" s="2" t="str">
        <f>"карамель леденцовая ""МИНИ-Акварельки"""</f>
        <v>карамель леденцовая "МИНИ-Акварельки"</v>
      </c>
      <c r="C35" s="2" t="str">
        <f t="shared" si="16"/>
        <v>ТМ МАЛВИКЪ</v>
      </c>
      <c r="D35" s="2" t="str">
        <f>"04607033641345"</f>
        <v>04607033641345</v>
      </c>
      <c r="E35" s="2" t="str">
        <f>"Сладости и кондитерские_x000D_
 изделия (4)"</f>
        <v>Сладости и кондитерские_x000D_
 изделия (4)</v>
      </c>
      <c r="F35" s="2" t="str">
        <f t="shared" si="12"/>
        <v>1704907100</v>
      </c>
      <c r="G35" s="2"/>
      <c r="H35" s="2" t="str">
        <f t="shared" si="17"/>
        <v>ООО «МАЛВИКЪ»</v>
      </c>
      <c r="I35" s="2" t="str">
        <f t="shared" si="13"/>
        <v>ООО «МАЛВИКЪ»</v>
      </c>
      <c r="J35" s="2">
        <v>0</v>
      </c>
      <c r="K35" s="2"/>
      <c r="L35" s="2"/>
      <c r="M35" s="2" t="str">
        <f>"Месяц"</f>
        <v>Месяц</v>
      </c>
      <c r="N35" s="2">
        <v>12</v>
      </c>
      <c r="O35" s="2" t="s">
        <v>28</v>
      </c>
      <c r="P35" s="2" t="s">
        <v>45</v>
      </c>
      <c r="Q35" s="2"/>
      <c r="R35" s="2"/>
      <c r="S35" s="2" t="str">
        <f t="shared" si="14"/>
        <v>Декларация о соответствии</v>
      </c>
      <c r="T35" s="2" t="str">
        <f>"ЕАЭС N RU Д-RU.РА01.В.67464/24"</f>
        <v>ЕАЭС N RU Д-RU.РА01.В.67464/24</v>
      </c>
      <c r="U35" s="2" t="s">
        <v>29</v>
      </c>
      <c r="V35" s="2" t="str">
        <f t="shared" si="10"/>
        <v>Коробка (UNIT)</v>
      </c>
      <c r="W35" s="2"/>
      <c r="X35" s="2">
        <v>180</v>
      </c>
      <c r="Y35" s="2" t="str">
        <f t="shared" si="15"/>
        <v>Novexx_Box_Long_80x100.for</v>
      </c>
    </row>
    <row r="36" spans="1:25" x14ac:dyDescent="0.25">
      <c r="A36" s="2" t="s">
        <v>46</v>
      </c>
      <c r="B36" s="2" t="s">
        <v>47</v>
      </c>
      <c r="C36" s="2" t="str">
        <f>"нет"</f>
        <v>нет</v>
      </c>
      <c r="D36" s="2" t="str">
        <f>"04607033642106"</f>
        <v>04607033642106</v>
      </c>
      <c r="E36" s="2" t="str">
        <f>"Сладости и кондитерские_x000D_ 
изделия (44)"</f>
        <v>Сладости и кондитерские_x000D_ 
изделия (44)</v>
      </c>
      <c r="F36" s="2" t="str">
        <f t="shared" si="12"/>
        <v>1704907100</v>
      </c>
      <c r="G36" s="2"/>
      <c r="H36" s="2" t="str">
        <f t="shared" si="17"/>
        <v>ООО «МАЛВИКЪ»</v>
      </c>
      <c r="I36" s="2" t="str">
        <f t="shared" si="13"/>
        <v>ООО «МАЛВИКЪ»</v>
      </c>
      <c r="J36" s="2">
        <v>0</v>
      </c>
      <c r="K36" s="2"/>
      <c r="L36" s="2"/>
      <c r="M36" s="2"/>
      <c r="N36" s="2"/>
      <c r="O36" s="2"/>
      <c r="P36" s="2"/>
      <c r="Q36" s="2"/>
      <c r="R36" s="2"/>
      <c r="S36" s="2" t="str">
        <f t="shared" si="14"/>
        <v>Декларация о соответствии</v>
      </c>
      <c r="T36" s="2" t="str">
        <f>"ЕАЭС N RU Д-RU.РА02.В.10083/26"</f>
        <v>ЕАЭС N RU Д-RU.РА02.В.10083/26</v>
      </c>
      <c r="U36" s="2" t="s">
        <v>48</v>
      </c>
      <c r="V36" s="2" t="str">
        <f t="shared" si="10"/>
        <v>Коробка (UNIT)</v>
      </c>
      <c r="W36" s="2"/>
      <c r="X36" s="2">
        <v>45</v>
      </c>
      <c r="Y36" s="2" t="str">
        <f t="shared" si="15"/>
        <v>Novexx_Box_Long_80x100.for</v>
      </c>
    </row>
    <row r="37" spans="1:25" x14ac:dyDescent="0.25">
      <c r="A37" s="2" t="s">
        <v>49</v>
      </c>
      <c r="B37" s="2" t="s">
        <v>50</v>
      </c>
      <c r="C37" s="2" t="str">
        <f>"нет"</f>
        <v>нет</v>
      </c>
      <c r="D37" s="2" t="str">
        <f>"04607033641970"</f>
        <v>04607033641970</v>
      </c>
      <c r="E37" s="2" t="str">
        <f>"Сладости и кондитерские_x000D_ 
изделия (44)"</f>
        <v>Сладости и кондитерские_x000D_ 
изделия (44)</v>
      </c>
      <c r="F37" s="2" t="str">
        <f t="shared" si="12"/>
        <v>1704907100</v>
      </c>
      <c r="G37" s="2"/>
      <c r="H37" s="2" t="str">
        <f t="shared" si="17"/>
        <v>ООО «МАЛВИКЪ»</v>
      </c>
      <c r="I37" s="2" t="str">
        <f t="shared" si="13"/>
        <v>ООО «МАЛВИКЪ»</v>
      </c>
      <c r="J37" s="2">
        <v>0</v>
      </c>
      <c r="K37" s="2"/>
      <c r="L37" s="2"/>
      <c r="M37" s="2"/>
      <c r="N37" s="2"/>
      <c r="O37" s="2"/>
      <c r="P37" s="2"/>
      <c r="Q37" s="2"/>
      <c r="R37" s="2"/>
      <c r="S37" s="2" t="str">
        <f t="shared" si="14"/>
        <v>Декларация о соответствии</v>
      </c>
      <c r="T37" s="2" t="str">
        <f>"ЕАЭС N RU Д-RU.РА02.В.10083/26"</f>
        <v>ЕАЭС N RU Д-RU.РА02.В.10083/26</v>
      </c>
      <c r="U37" s="2" t="s">
        <v>48</v>
      </c>
      <c r="V37" s="2" t="str">
        <f t="shared" si="10"/>
        <v>Коробка (UNIT)</v>
      </c>
      <c r="W37" s="2"/>
      <c r="X37" s="2">
        <v>45</v>
      </c>
      <c r="Y37" s="2" t="str">
        <f t="shared" si="15"/>
        <v>Novexx_Box_Long_80x100.for</v>
      </c>
    </row>
    <row r="38" spans="1:25" x14ac:dyDescent="0.25">
      <c r="A38" s="2" t="s">
        <v>51</v>
      </c>
      <c r="B38" s="2" t="s">
        <v>52</v>
      </c>
      <c r="C38" s="2" t="str">
        <f>"нет"</f>
        <v>нет</v>
      </c>
      <c r="D38" s="2" t="str">
        <f>"04607033641987"</f>
        <v>04607033641987</v>
      </c>
      <c r="E38" s="2" t="str">
        <f>"Сладости и кондитерские_x000D_ 
изделия (44)"</f>
        <v>Сладости и кондитерские_x000D_ 
изделия (44)</v>
      </c>
      <c r="F38" s="2" t="str">
        <f t="shared" si="12"/>
        <v>1704907100</v>
      </c>
      <c r="G38" s="2"/>
      <c r="H38" s="2" t="str">
        <f t="shared" si="17"/>
        <v>ООО «МАЛВИКЪ»</v>
      </c>
      <c r="I38" s="2" t="str">
        <f t="shared" si="13"/>
        <v>ООО «МАЛВИКЪ»</v>
      </c>
      <c r="J38" s="2">
        <v>0</v>
      </c>
      <c r="K38" s="2"/>
      <c r="L38" s="2"/>
      <c r="M38" s="2"/>
      <c r="N38" s="2"/>
      <c r="O38" s="2"/>
      <c r="P38" s="2"/>
      <c r="Q38" s="2"/>
      <c r="R38" s="2"/>
      <c r="S38" s="2" t="str">
        <f t="shared" si="14"/>
        <v>Декларация о соответствии</v>
      </c>
      <c r="T38" s="2" t="str">
        <f>"ЕАЭС N RU Д-RU.РА02.В.10083/26"</f>
        <v>ЕАЭС N RU Д-RU.РА02.В.10083/26</v>
      </c>
      <c r="U38" s="2" t="s">
        <v>48</v>
      </c>
      <c r="V38" s="2" t="str">
        <f t="shared" si="10"/>
        <v>Коробка (UNIT)</v>
      </c>
      <c r="W38" s="2"/>
      <c r="X38" s="2">
        <v>45</v>
      </c>
      <c r="Y38" s="2" t="str">
        <f t="shared" si="15"/>
        <v>Novexx_Box_Long_80x100.for</v>
      </c>
    </row>
    <row r="39" spans="1:25" x14ac:dyDescent="0.25">
      <c r="A39" s="2" t="s">
        <v>53</v>
      </c>
      <c r="B39" s="2" t="s">
        <v>54</v>
      </c>
      <c r="C39" s="2" t="str">
        <f>"нет"</f>
        <v>нет</v>
      </c>
      <c r="D39" s="2" t="str">
        <f>"04607033641994"</f>
        <v>04607033641994</v>
      </c>
      <c r="E39" s="2" t="str">
        <f>"Сладости и кондитерские_x000D_ 
изделия (44)"</f>
        <v>Сладости и кондитерские_x000D_ 
изделия (44)</v>
      </c>
      <c r="F39" s="2" t="str">
        <f t="shared" si="12"/>
        <v>1704907100</v>
      </c>
      <c r="G39" s="2"/>
      <c r="H39" s="2" t="str">
        <f t="shared" si="17"/>
        <v>ООО «МАЛВИКЪ»</v>
      </c>
      <c r="I39" s="2" t="str">
        <f t="shared" si="13"/>
        <v>ООО «МАЛВИКЪ»</v>
      </c>
      <c r="J39" s="2">
        <v>0</v>
      </c>
      <c r="K39" s="2"/>
      <c r="L39" s="2"/>
      <c r="M39" s="2"/>
      <c r="N39" s="2"/>
      <c r="O39" s="2"/>
      <c r="P39" s="2"/>
      <c r="Q39" s="2"/>
      <c r="R39" s="2"/>
      <c r="S39" s="2" t="str">
        <f t="shared" si="14"/>
        <v>Декларация о соответствии</v>
      </c>
      <c r="T39" s="2" t="str">
        <f>"ЕАЭС N RU Д-RU.РА02.В.10083/26"</f>
        <v>ЕАЭС N RU Д-RU.РА02.В.10083/26</v>
      </c>
      <c r="U39" s="2" t="s">
        <v>48</v>
      </c>
      <c r="V39" s="2" t="str">
        <f t="shared" si="10"/>
        <v>Коробка (UNIT)</v>
      </c>
      <c r="W39" s="2"/>
      <c r="X39" s="2">
        <v>45</v>
      </c>
      <c r="Y39" s="2" t="str">
        <f t="shared" si="15"/>
        <v>Novexx_Box_Long_80x100.for</v>
      </c>
    </row>
    <row r="40" spans="1:25" x14ac:dyDescent="0.25">
      <c r="A40" s="2" t="s">
        <v>55</v>
      </c>
      <c r="B40" s="2" t="str">
        <f>"Карамель леденцовая ""мини-м"" Классика"</f>
        <v>Карамель леденцовая "мини-м" Классика</v>
      </c>
      <c r="C40" s="2" t="str">
        <f t="shared" ref="C40:C56" si="18">"ТМ МАЛВИКЪ"</f>
        <v>ТМ МАЛВИКЪ</v>
      </c>
      <c r="D40" s="2" t="str">
        <f>"04607033643233"</f>
        <v>04607033643233</v>
      </c>
      <c r="E40" s="2" t="str">
        <f>"Сладости и кондитерские_x000D_ 
изделия (44)"</f>
        <v>Сладости и кондитерские_x000D_ 
изделия (44)</v>
      </c>
      <c r="F40" s="2" t="str">
        <f t="shared" si="12"/>
        <v>1704907100</v>
      </c>
      <c r="G40" s="2"/>
      <c r="H40" s="2" t="str">
        <f t="shared" si="17"/>
        <v>ООО «МАЛВИКЪ»</v>
      </c>
      <c r="I40" s="2" t="str">
        <f t="shared" si="13"/>
        <v>ООО «МАЛВИКЪ»</v>
      </c>
      <c r="J40" s="2"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 t="str">
        <f t="shared" si="10"/>
        <v>Коробка (UNIT)</v>
      </c>
      <c r="W40" s="2"/>
      <c r="X40" s="2">
        <v>1000</v>
      </c>
      <c r="Y40" s="2" t="str">
        <f>"Box_25x25.zpl"</f>
        <v>Box_25x25.zpl</v>
      </c>
    </row>
    <row r="41" spans="1:25" x14ac:dyDescent="0.25">
      <c r="A41" s="2" t="s">
        <v>56</v>
      </c>
      <c r="B41" s="2" t="s">
        <v>56</v>
      </c>
      <c r="C41" s="2" t="str">
        <f t="shared" si="18"/>
        <v>ТМ МАЛВИКЪ</v>
      </c>
      <c r="D41" s="2" t="str">
        <f>"04607033641673"</f>
        <v>04607033641673</v>
      </c>
      <c r="E41" s="2" t="str">
        <f>"Сладости и кондитерские_x000D_
 изделия (4)"</f>
        <v>Сладости и кондитерские_x000D_
 изделия (4)</v>
      </c>
      <c r="F41" s="2" t="str">
        <f t="shared" si="12"/>
        <v>1704907100</v>
      </c>
      <c r="G41" s="2"/>
      <c r="H41" s="2" t="str">
        <f t="shared" si="17"/>
        <v>ООО «МАЛВИКЪ»</v>
      </c>
      <c r="I41" s="2" t="str">
        <f t="shared" si="13"/>
        <v>ООО «МАЛВИКЪ»</v>
      </c>
      <c r="J41" s="2">
        <v>0</v>
      </c>
      <c r="K41" s="2"/>
      <c r="L41" s="2"/>
      <c r="M41" s="2" t="str">
        <f>"Месяц"</f>
        <v>Месяц</v>
      </c>
      <c r="N41" s="2">
        <v>12</v>
      </c>
      <c r="O41" s="2" t="s">
        <v>28</v>
      </c>
      <c r="P41" s="2"/>
      <c r="Q41" s="2"/>
      <c r="R41" s="2"/>
      <c r="S41" s="2" t="str">
        <f t="shared" ref="S41:S72" si="19">"Декларация о соответствии"</f>
        <v>Декларация о соответствии</v>
      </c>
      <c r="T41" s="2" t="str">
        <f>"ЕАЭС N RU Д-RU.РА01.В.67464/24"</f>
        <v>ЕАЭС N RU Д-RU.РА01.В.67464/24</v>
      </c>
      <c r="U41" s="2" t="s">
        <v>29</v>
      </c>
      <c r="V41" s="2" t="str">
        <f t="shared" si="10"/>
        <v>Коробка (UNIT)</v>
      </c>
      <c r="W41" s="2"/>
      <c r="X41" s="2">
        <v>1000</v>
      </c>
      <c r="Y41" s="2" t="str">
        <f>"Novexx_Box_Short_80x80 — пакет.for"</f>
        <v>Novexx_Box_Short_80x80 — пакет.for</v>
      </c>
    </row>
    <row r="42" spans="1:25" x14ac:dyDescent="0.25">
      <c r="A42" s="2" t="str">
        <f>"Карамель леденцовая «ICE TEAM» (04607033646289)"</f>
        <v>Карамель леденцовая «ICE TEAM» (04607033646289)</v>
      </c>
      <c r="B42" s="2" t="str">
        <f>"Карамель леденцовая «ICE TEAM»"</f>
        <v>Карамель леденцовая «ICE TEAM»</v>
      </c>
      <c r="C42" s="2" t="str">
        <f t="shared" si="18"/>
        <v>ТМ МАЛВИКЪ</v>
      </c>
      <c r="D42" s="2" t="str">
        <f>"04607033646289"</f>
        <v>04607033646289</v>
      </c>
      <c r="E42" s="2" t="str">
        <f>"Сладости и кондитерские_x000D_
 изделия (4)"</f>
        <v>Сладости и кондитерские_x000D_
 изделия (4)</v>
      </c>
      <c r="F42" s="2" t="str">
        <f>"1806905001"</f>
        <v>1806905001</v>
      </c>
      <c r="G42" s="2"/>
      <c r="H42" s="2" t="str">
        <f t="shared" si="17"/>
        <v>ООО «МАЛВИКЪ»</v>
      </c>
      <c r="I42" s="2" t="str">
        <f t="shared" si="13"/>
        <v>ООО «МАЛВИКЪ»</v>
      </c>
      <c r="J42" s="2">
        <v>0</v>
      </c>
      <c r="K42" s="2"/>
      <c r="L42" s="2" t="str">
        <f>"04607033646289"</f>
        <v>04607033646289</v>
      </c>
      <c r="M42" s="2" t="str">
        <f>"Месяц"</f>
        <v>Месяц</v>
      </c>
      <c r="N42" s="2">
        <v>12</v>
      </c>
      <c r="O42" s="2"/>
      <c r="P42" s="2"/>
      <c r="Q42" s="2"/>
      <c r="R42" s="2"/>
      <c r="S42" s="2" t="str">
        <f t="shared" si="19"/>
        <v>Декларация о соответствии</v>
      </c>
      <c r="T42" s="2" t="str">
        <f>"ЕАЭС N RU Д-RU.РА02.В.81272/26"</f>
        <v>ЕАЭС N RU Д-RU.РА02.В.81272/26</v>
      </c>
      <c r="U42" s="2" t="s">
        <v>57</v>
      </c>
      <c r="V42" s="2" t="str">
        <f t="shared" si="10"/>
        <v>Коробка (UNIT)</v>
      </c>
      <c r="W42" s="2"/>
      <c r="X42" s="2">
        <v>75</v>
      </c>
      <c r="Y42" s="2" t="str">
        <f>"Malvik_SSCC_80х80_3.zpl"</f>
        <v>Malvik_SSCC_80х80_3.zpl</v>
      </c>
    </row>
    <row r="43" spans="1:25" x14ac:dyDescent="0.25">
      <c r="A43" s="2" t="s">
        <v>58</v>
      </c>
      <c r="B43" s="2" t="s">
        <v>59</v>
      </c>
      <c r="C43" s="2" t="str">
        <f t="shared" si="18"/>
        <v>ТМ МАЛВИКЪ</v>
      </c>
      <c r="D43" s="2" t="str">
        <f>"04607033642267"</f>
        <v>04607033642267</v>
      </c>
      <c r="E43" s="2" t="str">
        <f>"Сладости и кондитерские_x000D_ 
изделия (44)"</f>
        <v>Сладости и кондитерские_x000D_ 
изделия (44)</v>
      </c>
      <c r="F43" s="2" t="str">
        <f t="shared" ref="F43:F74" si="20">"1704907100"</f>
        <v>1704907100</v>
      </c>
      <c r="G43" s="2"/>
      <c r="H43" s="2" t="str">
        <f t="shared" si="17"/>
        <v>ООО «МАЛВИКЪ»</v>
      </c>
      <c r="I43" s="2" t="str">
        <f t="shared" si="13"/>
        <v>ООО «МАЛВИКЪ»</v>
      </c>
      <c r="J43" s="2">
        <v>0</v>
      </c>
      <c r="K43" s="2"/>
      <c r="L43" s="2"/>
      <c r="M43" s="2"/>
      <c r="N43" s="2"/>
      <c r="O43" s="2"/>
      <c r="P43" s="2"/>
      <c r="Q43" s="2"/>
      <c r="R43" s="2"/>
      <c r="S43" s="2" t="str">
        <f t="shared" si="19"/>
        <v>Декларация о соответствии</v>
      </c>
      <c r="T43" s="2" t="str">
        <f>"ЕАЭС N RU Д-RU.РА02.В.23978/24"</f>
        <v>ЕАЭС N RU Д-RU.РА02.В.23978/24</v>
      </c>
      <c r="U43" s="2" t="s">
        <v>60</v>
      </c>
      <c r="V43" s="2" t="str">
        <f t="shared" si="10"/>
        <v>Коробка (UNIT)</v>
      </c>
      <c r="W43" s="2"/>
      <c r="X43" s="2">
        <v>180</v>
      </c>
      <c r="Y43" s="2" t="str">
        <f>"Novexx_Box_Long_80x100.for"</f>
        <v>Novexx_Box_Long_80x100.for</v>
      </c>
    </row>
    <row r="44" spans="1:25" x14ac:dyDescent="0.25">
      <c r="A44" s="2" t="s">
        <v>61</v>
      </c>
      <c r="B44" s="2" t="s">
        <v>59</v>
      </c>
      <c r="C44" s="2" t="str">
        <f t="shared" si="18"/>
        <v>ТМ МАЛВИКЪ</v>
      </c>
      <c r="D44" s="2" t="str">
        <f>"04607033643097"</f>
        <v>04607033643097</v>
      </c>
      <c r="E44" s="2" t="str">
        <f>"Сладости и кондитерские_x000D_ 
изделия (44)"</f>
        <v>Сладости и кондитерские_x000D_ 
изделия (44)</v>
      </c>
      <c r="F44" s="2" t="str">
        <f t="shared" si="20"/>
        <v>1704907100</v>
      </c>
      <c r="G44" s="2"/>
      <c r="H44" s="2" t="str">
        <f t="shared" si="17"/>
        <v>ООО «МАЛВИКЪ»</v>
      </c>
      <c r="I44" s="2" t="str">
        <f t="shared" si="13"/>
        <v>ООО «МАЛВИКЪ»</v>
      </c>
      <c r="J44" s="2">
        <v>0</v>
      </c>
      <c r="K44" s="2"/>
      <c r="L44" s="2"/>
      <c r="M44" s="2"/>
      <c r="N44" s="2"/>
      <c r="O44" s="2"/>
      <c r="P44" s="2"/>
      <c r="Q44" s="2"/>
      <c r="R44" s="2"/>
      <c r="S44" s="2" t="str">
        <f t="shared" si="19"/>
        <v>Декларация о соответствии</v>
      </c>
      <c r="T44" s="2" t="str">
        <f>"ЕАЭС N RU Д-RU.РА02.В.23978/24"</f>
        <v>ЕАЭС N RU Д-RU.РА02.В.23978/24</v>
      </c>
      <c r="U44" s="2" t="s">
        <v>60</v>
      </c>
      <c r="V44" s="2" t="str">
        <f t="shared" si="10"/>
        <v>Коробка (UNIT)</v>
      </c>
      <c r="W44" s="2"/>
      <c r="X44" s="2">
        <v>1000</v>
      </c>
      <c r="Y44" s="2" t="str">
        <f>"Novexx_Box_Long_80x100.for"</f>
        <v>Novexx_Box_Long_80x100.for</v>
      </c>
    </row>
    <row r="45" spans="1:25" x14ac:dyDescent="0.25">
      <c r="A45" s="2" t="s">
        <v>62</v>
      </c>
      <c r="B45" s="2" t="s">
        <v>63</v>
      </c>
      <c r="C45" s="2" t="str">
        <f t="shared" si="18"/>
        <v>ТМ МАЛВИКЪ</v>
      </c>
      <c r="D45" s="2" t="str">
        <f>"04607033644230"</f>
        <v>04607033644230</v>
      </c>
      <c r="E45" s="2" t="str">
        <f>"Сладости и кондитерские_x000D_ 
изделия (44)"</f>
        <v>Сладости и кондитерские_x000D_ 
изделия (44)</v>
      </c>
      <c r="F45" s="2" t="str">
        <f t="shared" si="20"/>
        <v>1704907100</v>
      </c>
      <c r="G45" s="2"/>
      <c r="H45" s="2" t="str">
        <f t="shared" si="17"/>
        <v>ООО «МАЛВИКЪ»</v>
      </c>
      <c r="I45" s="2" t="str">
        <f t="shared" si="13"/>
        <v>ООО «МАЛВИКЪ»</v>
      </c>
      <c r="J45" s="2">
        <v>0</v>
      </c>
      <c r="K45" s="2"/>
      <c r="L45" s="2"/>
      <c r="M45" s="2"/>
      <c r="N45" s="2"/>
      <c r="O45" s="2"/>
      <c r="P45" s="2"/>
      <c r="Q45" s="2"/>
      <c r="R45" s="2"/>
      <c r="S45" s="2" t="str">
        <f t="shared" si="19"/>
        <v>Декларация о соответствии</v>
      </c>
      <c r="T45" s="2" t="str">
        <f>"ЕАЭС N RU Д-RU.РА02.В.23978/24"</f>
        <v>ЕАЭС N RU Д-RU.РА02.В.23978/24</v>
      </c>
      <c r="U45" s="2" t="s">
        <v>60</v>
      </c>
      <c r="V45" s="2" t="str">
        <f t="shared" si="10"/>
        <v>Коробка (UNIT)</v>
      </c>
      <c r="W45" s="2"/>
      <c r="X45" s="2">
        <v>6000</v>
      </c>
      <c r="Y45" s="2" t="str">
        <f>"Novexx_Box_Long_80x100.for"</f>
        <v>Novexx_Box_Long_80x100.for</v>
      </c>
    </row>
    <row r="46" spans="1:25" x14ac:dyDescent="0.25">
      <c r="A46" s="2" t="s">
        <v>64</v>
      </c>
      <c r="B46" s="2" t="s">
        <v>65</v>
      </c>
      <c r="C46" s="2" t="str">
        <f t="shared" si="18"/>
        <v>ТМ МАЛВИКЪ</v>
      </c>
      <c r="D46" s="2" t="str">
        <f>"04607033646098"</f>
        <v>04607033646098</v>
      </c>
      <c r="E46" s="2" t="str">
        <f>"Сладости и кондитерские_x000D_
 изделия (4)"</f>
        <v>Сладости и кондитерские_x000D_
 изделия (4)</v>
      </c>
      <c r="F46" s="2" t="str">
        <f t="shared" si="20"/>
        <v>1704907100</v>
      </c>
      <c r="G46" s="2"/>
      <c r="H46" s="2" t="str">
        <f t="shared" si="17"/>
        <v>ООО «МАЛВИКЪ»</v>
      </c>
      <c r="I46" s="2" t="str">
        <f t="shared" si="13"/>
        <v>ООО «МАЛВИКЪ»</v>
      </c>
      <c r="J46" s="2">
        <v>0</v>
      </c>
      <c r="K46" s="2"/>
      <c r="L46" s="2"/>
      <c r="M46" s="2" t="str">
        <f>"Час"</f>
        <v>Час</v>
      </c>
      <c r="N46" s="2">
        <v>12</v>
      </c>
      <c r="O46" s="2" t="s">
        <v>26</v>
      </c>
      <c r="P46" s="2" t="str">
        <f>"1.5"</f>
        <v>1.5</v>
      </c>
      <c r="Q46" s="2" t="str">
        <f>"1.68"</f>
        <v>1.68</v>
      </c>
      <c r="R46" s="2"/>
      <c r="S46" s="2" t="str">
        <f t="shared" si="19"/>
        <v>Декларация о соответствии</v>
      </c>
      <c r="T46" s="2" t="str">
        <f>"ЕАЭС N RU Д-RU.РА02.В.68388/26"</f>
        <v>ЕАЭС N RU Д-RU.РА02.В.68388/26</v>
      </c>
      <c r="U46" s="2" t="s">
        <v>66</v>
      </c>
      <c r="V46" s="2" t="str">
        <f t="shared" si="10"/>
        <v>Коробка (UNIT)</v>
      </c>
      <c r="W46" s="2"/>
      <c r="X46" s="2">
        <v>100</v>
      </c>
      <c r="Y46" s="2" t="str">
        <f>"Savema_ДвеДатыПартия_32.les"</f>
        <v>Savema_ДвеДатыПартия_32.les</v>
      </c>
    </row>
    <row r="47" spans="1:25" x14ac:dyDescent="0.25">
      <c r="A47" s="2" t="s">
        <v>67</v>
      </c>
      <c r="B47" s="2" t="str">
        <f>"Карамель леденцовая «mini Fruit team»"</f>
        <v>Карамель леденцовая «mini Fruit team»</v>
      </c>
      <c r="C47" s="2" t="str">
        <f t="shared" si="18"/>
        <v>ТМ МАЛВИКЪ</v>
      </c>
      <c r="D47" s="2" t="str">
        <f>"04607033645435"</f>
        <v>04607033645435</v>
      </c>
      <c r="E47" s="2" t="str">
        <f t="shared" ref="E47:E59" si="21">"Сладости и кондитерские_x000D_ 
изделия (44)"</f>
        <v>Сладости и кондитерские_x000D_ 
изделия (44)</v>
      </c>
      <c r="F47" s="2" t="str">
        <f t="shared" si="20"/>
        <v>1704907100</v>
      </c>
      <c r="G47" s="2"/>
      <c r="H47" s="2" t="str">
        <f t="shared" si="17"/>
        <v>ООО «МАЛВИКЪ»</v>
      </c>
      <c r="I47" s="2" t="str">
        <f t="shared" si="13"/>
        <v>ООО «МАЛВИКЪ»</v>
      </c>
      <c r="J47" s="2">
        <v>0</v>
      </c>
      <c r="K47" s="2"/>
      <c r="L47" s="2"/>
      <c r="M47" s="2"/>
      <c r="N47" s="2"/>
      <c r="O47" s="2"/>
      <c r="P47" s="2"/>
      <c r="Q47" s="2"/>
      <c r="R47" s="2"/>
      <c r="S47" s="2" t="str">
        <f t="shared" si="19"/>
        <v>Декларация о соответствии</v>
      </c>
      <c r="T47" s="2" t="str">
        <f>"ЕАЭС N RU Д-RU.РА02.В.97333/25"</f>
        <v>ЕАЭС N RU Д-RU.РА02.В.97333/25</v>
      </c>
      <c r="U47" s="2" t="s">
        <v>68</v>
      </c>
      <c r="V47" s="2" t="str">
        <f t="shared" si="10"/>
        <v>Коробка (UNIT)</v>
      </c>
      <c r="W47" s="2"/>
      <c r="X47" s="2">
        <v>1000</v>
      </c>
      <c r="Y47" s="2" t="str">
        <f t="shared" ref="Y47:Y59" si="22">"Novexx_Box_Long_80x100.for"</f>
        <v>Novexx_Box_Long_80x100.for</v>
      </c>
    </row>
    <row r="48" spans="1:25" x14ac:dyDescent="0.25">
      <c r="A48" s="2" t="s">
        <v>69</v>
      </c>
      <c r="B48" s="2" t="str">
        <f>"Карамель леденцовая «mini Fruit team»"</f>
        <v>Карамель леденцовая «mini Fruit team»</v>
      </c>
      <c r="C48" s="2" t="str">
        <f t="shared" si="18"/>
        <v>ТМ МАЛВИКЪ</v>
      </c>
      <c r="D48" s="2" t="str">
        <f>"04607033645459"</f>
        <v>04607033645459</v>
      </c>
      <c r="E48" s="2" t="str">
        <f t="shared" si="21"/>
        <v>Сладости и кондитерские_x000D_ 
изделия (44)</v>
      </c>
      <c r="F48" s="2" t="str">
        <f t="shared" si="20"/>
        <v>1704907100</v>
      </c>
      <c r="G48" s="2"/>
      <c r="H48" s="2" t="str">
        <f t="shared" si="17"/>
        <v>ООО «МАЛВИКЪ»</v>
      </c>
      <c r="I48" s="2" t="str">
        <f t="shared" si="13"/>
        <v>ООО «МАЛВИКЪ»</v>
      </c>
      <c r="J48" s="2">
        <v>0</v>
      </c>
      <c r="K48" s="2"/>
      <c r="L48" s="2"/>
      <c r="M48" s="2"/>
      <c r="N48" s="2"/>
      <c r="O48" s="2"/>
      <c r="P48" s="2"/>
      <c r="Q48" s="2"/>
      <c r="R48" s="2"/>
      <c r="S48" s="2" t="str">
        <f t="shared" si="19"/>
        <v>Декларация о соответствии</v>
      </c>
      <c r="T48" s="2" t="str">
        <f>"ЕАЭС N RU Д-RU.РА02.В.97333/25"</f>
        <v>ЕАЭС N RU Д-RU.РА02.В.97333/25</v>
      </c>
      <c r="U48" s="2" t="s">
        <v>68</v>
      </c>
      <c r="V48" s="2" t="str">
        <f t="shared" si="10"/>
        <v>Коробка (UNIT)</v>
      </c>
      <c r="W48" s="2"/>
      <c r="X48" s="2">
        <v>6000</v>
      </c>
      <c r="Y48" s="2" t="str">
        <f t="shared" si="22"/>
        <v>Novexx_Box_Long_80x100.for</v>
      </c>
    </row>
    <row r="49" spans="1:25" x14ac:dyDescent="0.25">
      <c r="A49" s="2" t="s">
        <v>70</v>
      </c>
      <c r="B49" s="2" t="str">
        <f>"Карамель леденцовая «mini Fruit team»"</f>
        <v>Карамель леденцовая «mini Fruit team»</v>
      </c>
      <c r="C49" s="2" t="str">
        <f t="shared" si="18"/>
        <v>ТМ МАЛВИКЪ</v>
      </c>
      <c r="D49" s="2" t="str">
        <f>"04607033645466"</f>
        <v>04607033645466</v>
      </c>
      <c r="E49" s="2" t="str">
        <f t="shared" si="21"/>
        <v>Сладости и кондитерские_x000D_ 
изделия (44)</v>
      </c>
      <c r="F49" s="2" t="str">
        <f t="shared" si="20"/>
        <v>1704907100</v>
      </c>
      <c r="G49" s="2"/>
      <c r="H49" s="2" t="str">
        <f t="shared" si="17"/>
        <v>ООО «МАЛВИКЪ»</v>
      </c>
      <c r="I49" s="2" t="str">
        <f t="shared" si="13"/>
        <v>ООО «МАЛВИКЪ»</v>
      </c>
      <c r="J49" s="2">
        <v>0</v>
      </c>
      <c r="K49" s="2"/>
      <c r="L49" s="2"/>
      <c r="M49" s="2"/>
      <c r="N49" s="2"/>
      <c r="O49" s="2"/>
      <c r="P49" s="2"/>
      <c r="Q49" s="2"/>
      <c r="R49" s="2"/>
      <c r="S49" s="2" t="str">
        <f t="shared" si="19"/>
        <v>Декларация о соответствии</v>
      </c>
      <c r="T49" s="2" t="str">
        <f>"ЕАЭС N RU Д-RU.РА02.В.97333/25"</f>
        <v>ЕАЭС N RU Д-RU.РА02.В.97333/25</v>
      </c>
      <c r="U49" s="2" t="s">
        <v>68</v>
      </c>
      <c r="V49" s="2" t="str">
        <f t="shared" si="10"/>
        <v>Коробка (UNIT)</v>
      </c>
      <c r="W49" s="2"/>
      <c r="X49" s="2">
        <v>500</v>
      </c>
      <c r="Y49" s="2" t="str">
        <f t="shared" si="22"/>
        <v>Novexx_Box_Long_80x100.for</v>
      </c>
    </row>
    <row r="50" spans="1:25" x14ac:dyDescent="0.25">
      <c r="A50" s="2" t="s">
        <v>71</v>
      </c>
      <c r="B50" s="2" t="str">
        <f>"карамель леденцовая «omg!» super cherry"</f>
        <v>карамель леденцовая «omg!» super cherry</v>
      </c>
      <c r="C50" s="2" t="str">
        <f t="shared" si="18"/>
        <v>ТМ МАЛВИКЪ</v>
      </c>
      <c r="D50" s="2" t="str">
        <f>"04607033642564"</f>
        <v>04607033642564</v>
      </c>
      <c r="E50" s="2" t="str">
        <f t="shared" si="21"/>
        <v>Сладости и кондитерские_x000D_ 
изделия (44)</v>
      </c>
      <c r="F50" s="2" t="str">
        <f t="shared" si="20"/>
        <v>1704907100</v>
      </c>
      <c r="G50" s="2"/>
      <c r="H50" s="2" t="str">
        <f t="shared" si="17"/>
        <v>ООО «МАЛВИКЪ»</v>
      </c>
      <c r="I50" s="2" t="str">
        <f t="shared" si="13"/>
        <v>ООО «МАЛВИКЪ»</v>
      </c>
      <c r="J50" s="2">
        <v>0</v>
      </c>
      <c r="K50" s="2"/>
      <c r="L50" s="2"/>
      <c r="M50" s="2"/>
      <c r="N50" s="2"/>
      <c r="O50" s="2"/>
      <c r="P50" s="2"/>
      <c r="Q50" s="2"/>
      <c r="R50" s="2"/>
      <c r="S50" s="2" t="str">
        <f t="shared" si="19"/>
        <v>Декларация о соответствии</v>
      </c>
      <c r="T50" s="2" t="str">
        <f>"ЕАЭС N RU Д-RU.РА02.В.23978/24"</f>
        <v>ЕАЭС N RU Д-RU.РА02.В.23978/24</v>
      </c>
      <c r="U50" s="2" t="s">
        <v>60</v>
      </c>
      <c r="V50" s="2" t="str">
        <f t="shared" si="10"/>
        <v>Коробка (UNIT)</v>
      </c>
      <c r="W50" s="2"/>
      <c r="X50" s="2">
        <v>57</v>
      </c>
      <c r="Y50" s="2" t="str">
        <f t="shared" si="22"/>
        <v>Novexx_Box_Long_80x100.for</v>
      </c>
    </row>
    <row r="51" spans="1:25" x14ac:dyDescent="0.25">
      <c r="A51" s="2" t="s">
        <v>72</v>
      </c>
      <c r="B51" s="2" t="str">
        <f>"карамель леденцовая «omg!» super cola"</f>
        <v>карамель леденцовая «omg!» super cola</v>
      </c>
      <c r="C51" s="2" t="str">
        <f t="shared" si="18"/>
        <v>ТМ МАЛВИКЪ</v>
      </c>
      <c r="D51" s="2" t="str">
        <f>"04607033642557"</f>
        <v>04607033642557</v>
      </c>
      <c r="E51" s="2" t="str">
        <f t="shared" si="21"/>
        <v>Сладости и кондитерские_x000D_ 
изделия (44)</v>
      </c>
      <c r="F51" s="2" t="str">
        <f t="shared" si="20"/>
        <v>1704907100</v>
      </c>
      <c r="G51" s="2"/>
      <c r="H51" s="2" t="str">
        <f t="shared" si="17"/>
        <v>ООО «МАЛВИКЪ»</v>
      </c>
      <c r="I51" s="2" t="str">
        <f t="shared" si="13"/>
        <v>ООО «МАЛВИКЪ»</v>
      </c>
      <c r="J51" s="2">
        <v>0</v>
      </c>
      <c r="K51" s="2"/>
      <c r="L51" s="2"/>
      <c r="M51" s="2"/>
      <c r="N51" s="2"/>
      <c r="O51" s="2"/>
      <c r="P51" s="2"/>
      <c r="Q51" s="2"/>
      <c r="R51" s="2"/>
      <c r="S51" s="2" t="str">
        <f t="shared" si="19"/>
        <v>Декларация о соответствии</v>
      </c>
      <c r="T51" s="2" t="str">
        <f>"ЕАЭС N RU Д-RU.РА02.В.23978/24"</f>
        <v>ЕАЭС N RU Д-RU.РА02.В.23978/24</v>
      </c>
      <c r="U51" s="2" t="s">
        <v>60</v>
      </c>
      <c r="V51" s="2" t="str">
        <f t="shared" si="10"/>
        <v>Коробка (UNIT)</v>
      </c>
      <c r="W51" s="2"/>
      <c r="X51" s="2">
        <v>57</v>
      </c>
      <c r="Y51" s="2" t="str">
        <f t="shared" si="22"/>
        <v>Novexx_Box_Long_80x100.for</v>
      </c>
    </row>
    <row r="52" spans="1:25" x14ac:dyDescent="0.25">
      <c r="A52" s="2" t="s">
        <v>73</v>
      </c>
      <c r="B52" s="2" t="str">
        <f>"карамель леденцовая «omg!» super lemon"</f>
        <v>карамель леденцовая «omg!» super lemon</v>
      </c>
      <c r="C52" s="2" t="str">
        <f t="shared" si="18"/>
        <v>ТМ МАЛВИКЪ</v>
      </c>
      <c r="D52" s="2" t="str">
        <f>"04607033642540"</f>
        <v>04607033642540</v>
      </c>
      <c r="E52" s="2" t="str">
        <f t="shared" si="21"/>
        <v>Сладости и кондитерские_x000D_ 
изделия (44)</v>
      </c>
      <c r="F52" s="2" t="str">
        <f t="shared" si="20"/>
        <v>1704907100</v>
      </c>
      <c r="G52" s="2"/>
      <c r="H52" s="2" t="str">
        <f t="shared" si="17"/>
        <v>ООО «МАЛВИКЪ»</v>
      </c>
      <c r="I52" s="2" t="str">
        <f t="shared" si="13"/>
        <v>ООО «МАЛВИКЪ»</v>
      </c>
      <c r="J52" s="2">
        <v>0</v>
      </c>
      <c r="K52" s="2"/>
      <c r="L52" s="2"/>
      <c r="M52" s="2"/>
      <c r="N52" s="2"/>
      <c r="O52" s="2"/>
      <c r="P52" s="2"/>
      <c r="Q52" s="2"/>
      <c r="R52" s="2"/>
      <c r="S52" s="2" t="str">
        <f t="shared" si="19"/>
        <v>Декларация о соответствии</v>
      </c>
      <c r="T52" s="2" t="str">
        <f>"ЕАЭС N RU Д-RU.РА02.В.23978/24"</f>
        <v>ЕАЭС N RU Д-RU.РА02.В.23978/24</v>
      </c>
      <c r="U52" s="2" t="s">
        <v>60</v>
      </c>
      <c r="V52" s="2" t="str">
        <f t="shared" si="10"/>
        <v>Коробка (UNIT)</v>
      </c>
      <c r="W52" s="2"/>
      <c r="X52" s="2">
        <v>57</v>
      </c>
      <c r="Y52" s="2" t="str">
        <f t="shared" si="22"/>
        <v>Novexx_Box_Long_80x100.for</v>
      </c>
    </row>
    <row r="53" spans="1:25" x14ac:dyDescent="0.25">
      <c r="A53" s="2" t="s">
        <v>74</v>
      </c>
      <c r="B53" s="2" t="s">
        <v>75</v>
      </c>
      <c r="C53" s="2" t="str">
        <f t="shared" si="18"/>
        <v>ТМ МАЛВИКЪ</v>
      </c>
      <c r="D53" s="2" t="str">
        <f>"04607033645305"</f>
        <v>04607033645305</v>
      </c>
      <c r="E53" s="2" t="str">
        <f t="shared" si="21"/>
        <v>Сладости и кондитерские_x000D_ 
изделия (44)</v>
      </c>
      <c r="F53" s="2" t="str">
        <f t="shared" si="20"/>
        <v>1704907100</v>
      </c>
      <c r="G53" s="2"/>
      <c r="H53" s="2" t="str">
        <f t="shared" si="17"/>
        <v>ООО «МАЛВИКЪ»</v>
      </c>
      <c r="I53" s="2" t="str">
        <f t="shared" si="13"/>
        <v>ООО «МАЛВИКЪ»</v>
      </c>
      <c r="J53" s="2">
        <v>0</v>
      </c>
      <c r="K53" s="2"/>
      <c r="L53" s="2"/>
      <c r="M53" s="2"/>
      <c r="N53" s="2"/>
      <c r="O53" s="2"/>
      <c r="P53" s="2"/>
      <c r="Q53" s="2"/>
      <c r="R53" s="2"/>
      <c r="S53" s="2" t="str">
        <f t="shared" si="19"/>
        <v>Декларация о соответствии</v>
      </c>
      <c r="T53" s="2" t="str">
        <f>"ЕАЭС N RU Д-RU.РА02.В.23978/24"</f>
        <v>ЕАЭС N RU Д-RU.РА02.В.23978/24</v>
      </c>
      <c r="U53" s="2" t="s">
        <v>60</v>
      </c>
      <c r="V53" s="2" t="str">
        <f t="shared" si="10"/>
        <v>Коробка (UNIT)</v>
      </c>
      <c r="W53" s="2"/>
      <c r="X53" s="2">
        <v>1000</v>
      </c>
      <c r="Y53" s="2" t="str">
        <f t="shared" si="22"/>
        <v>Novexx_Box_Long_80x100.for</v>
      </c>
    </row>
    <row r="54" spans="1:25" x14ac:dyDescent="0.25">
      <c r="A54" s="2" t="s">
        <v>76</v>
      </c>
      <c r="B54" s="2" t="s">
        <v>75</v>
      </c>
      <c r="C54" s="2" t="str">
        <f t="shared" si="18"/>
        <v>ТМ МАЛВИКЪ</v>
      </c>
      <c r="D54" s="2" t="str">
        <f>"04607033645367"</f>
        <v>04607033645367</v>
      </c>
      <c r="E54" s="2" t="str">
        <f t="shared" si="21"/>
        <v>Сладости и кондитерские_x000D_ 
изделия (44)</v>
      </c>
      <c r="F54" s="2" t="str">
        <f t="shared" si="20"/>
        <v>1704907100</v>
      </c>
      <c r="G54" s="2"/>
      <c r="H54" s="2" t="str">
        <f t="shared" si="17"/>
        <v>ООО «МАЛВИКЪ»</v>
      </c>
      <c r="I54" s="2" t="str">
        <f t="shared" si="13"/>
        <v>ООО «МАЛВИКЪ»</v>
      </c>
      <c r="J54" s="2">
        <v>0</v>
      </c>
      <c r="K54" s="2"/>
      <c r="L54" s="2"/>
      <c r="M54" s="2"/>
      <c r="N54" s="2"/>
      <c r="O54" s="2"/>
      <c r="P54" s="2"/>
      <c r="Q54" s="2"/>
      <c r="R54" s="2"/>
      <c r="S54" s="2" t="str">
        <f t="shared" si="19"/>
        <v>Декларация о соответствии</v>
      </c>
      <c r="T54" s="2" t="str">
        <f>"ЕАЭС N RU Д-RU.РА02.В.23978/24"</f>
        <v>ЕАЭС N RU Д-RU.РА02.В.23978/24</v>
      </c>
      <c r="U54" s="2" t="s">
        <v>60</v>
      </c>
      <c r="V54" s="2" t="str">
        <f t="shared" si="10"/>
        <v>Коробка (UNIT)</v>
      </c>
      <c r="W54" s="2"/>
      <c r="X54" s="2">
        <v>6000</v>
      </c>
      <c r="Y54" s="2" t="str">
        <f t="shared" si="22"/>
        <v>Novexx_Box_Long_80x100.for</v>
      </c>
    </row>
    <row r="55" spans="1:25" x14ac:dyDescent="0.25">
      <c r="A55" s="2" t="s">
        <v>77</v>
      </c>
      <c r="B55" s="2" t="str">
        <f>"карамель леденцовая «SWEET ENERGY»"</f>
        <v>карамель леденцовая «SWEET ENERGY»</v>
      </c>
      <c r="C55" s="2" t="str">
        <f t="shared" si="18"/>
        <v>ТМ МАЛВИКЪ</v>
      </c>
      <c r="D55" s="2" t="str">
        <f>"04607033643318"</f>
        <v>04607033643318</v>
      </c>
      <c r="E55" s="2" t="str">
        <f t="shared" si="21"/>
        <v>Сладости и кондитерские_x000D_ 
изделия (44)</v>
      </c>
      <c r="F55" s="2" t="str">
        <f t="shared" si="20"/>
        <v>1704907100</v>
      </c>
      <c r="G55" s="2"/>
      <c r="H55" s="2" t="str">
        <f t="shared" si="17"/>
        <v>ООО «МАЛВИКЪ»</v>
      </c>
      <c r="I55" s="2" t="str">
        <f t="shared" si="13"/>
        <v>ООО «МАЛВИКЪ»</v>
      </c>
      <c r="J55" s="2">
        <v>0</v>
      </c>
      <c r="K55" s="2"/>
      <c r="L55" s="2"/>
      <c r="M55" s="2"/>
      <c r="N55" s="2"/>
      <c r="O55" s="2"/>
      <c r="P55" s="2"/>
      <c r="Q55" s="2"/>
      <c r="R55" s="2"/>
      <c r="S55" s="2" t="str">
        <f t="shared" si="19"/>
        <v>Декларация о соответствии</v>
      </c>
      <c r="T55" s="2" t="str">
        <f>"ЕАЭС N RU Д-RU.РА11.В.12877/24"</f>
        <v>ЕАЭС N RU Д-RU.РА11.В.12877/24</v>
      </c>
      <c r="U55" s="2" t="s">
        <v>78</v>
      </c>
      <c r="V55" s="2" t="str">
        <f t="shared" si="10"/>
        <v>Коробка (UNIT)</v>
      </c>
      <c r="W55" s="2"/>
      <c r="X55" s="2">
        <v>50</v>
      </c>
      <c r="Y55" s="2" t="str">
        <f t="shared" si="22"/>
        <v>Novexx_Box_Long_80x100.for</v>
      </c>
    </row>
    <row r="56" spans="1:25" x14ac:dyDescent="0.25">
      <c r="A56" s="2" t="s">
        <v>79</v>
      </c>
      <c r="B56" s="2" t="str">
        <f>"карамель леденцовая «SWEET ENERGY»"</f>
        <v>карамель леденцовая «SWEET ENERGY»</v>
      </c>
      <c r="C56" s="2" t="str">
        <f t="shared" si="18"/>
        <v>ТМ МАЛВИКЪ</v>
      </c>
      <c r="D56" s="2" t="str">
        <f>"04607033645329"</f>
        <v>04607033645329</v>
      </c>
      <c r="E56" s="2" t="str">
        <f t="shared" si="21"/>
        <v>Сладости и кондитерские_x000D_ 
изделия (44)</v>
      </c>
      <c r="F56" s="2" t="str">
        <f t="shared" si="20"/>
        <v>1704907100</v>
      </c>
      <c r="G56" s="2"/>
      <c r="H56" s="2" t="str">
        <f t="shared" si="17"/>
        <v>ООО «МАЛВИКЪ»</v>
      </c>
      <c r="I56" s="2" t="str">
        <f t="shared" si="13"/>
        <v>ООО «МАЛВИКЪ»</v>
      </c>
      <c r="J56" s="2">
        <v>0</v>
      </c>
      <c r="K56" s="2"/>
      <c r="L56" s="2"/>
      <c r="M56" s="2"/>
      <c r="N56" s="2"/>
      <c r="O56" s="2"/>
      <c r="P56" s="2"/>
      <c r="Q56" s="2"/>
      <c r="R56" s="2"/>
      <c r="S56" s="2" t="str">
        <f t="shared" si="19"/>
        <v>Декларация о соответствии</v>
      </c>
      <c r="T56" s="2" t="str">
        <f>"ЕАЭС N RU Д-RU.РА11.В.12877/24"</f>
        <v>ЕАЭС N RU Д-RU.РА11.В.12877/24</v>
      </c>
      <c r="U56" s="2" t="s">
        <v>78</v>
      </c>
      <c r="V56" s="2" t="str">
        <f t="shared" ref="V56:V87" si="23">"Коробка (UNIT)"</f>
        <v>Коробка (UNIT)</v>
      </c>
      <c r="W56" s="2"/>
      <c r="X56" s="2">
        <v>6000</v>
      </c>
      <c r="Y56" s="2" t="str">
        <f t="shared" si="22"/>
        <v>Novexx_Box_Long_80x100.for</v>
      </c>
    </row>
    <row r="57" spans="1:25" x14ac:dyDescent="0.25">
      <c r="A57" s="2" t="s">
        <v>80</v>
      </c>
      <c r="B57" s="2" t="str">
        <f>"Карамель леденцовая «SWEET RACE» ассорти"</f>
        <v>Карамель леденцовая «SWEET RACE» ассорти</v>
      </c>
      <c r="C57" s="2" t="str">
        <f>"нет"</f>
        <v>нет</v>
      </c>
      <c r="D57" s="2" t="str">
        <f>"04607033644025"</f>
        <v>04607033644025</v>
      </c>
      <c r="E57" s="2" t="str">
        <f t="shared" si="21"/>
        <v>Сладости и кондитерские_x000D_ 
изделия (44)</v>
      </c>
      <c r="F57" s="2" t="str">
        <f t="shared" si="20"/>
        <v>1704907100</v>
      </c>
      <c r="G57" s="2"/>
      <c r="H57" s="2" t="str">
        <f t="shared" si="17"/>
        <v>ООО «МАЛВИКЪ»</v>
      </c>
      <c r="I57" s="2" t="str">
        <f t="shared" si="13"/>
        <v>ООО «МАЛВИКЪ»</v>
      </c>
      <c r="J57" s="2">
        <v>0</v>
      </c>
      <c r="K57" s="2"/>
      <c r="L57" s="2"/>
      <c r="M57" s="2"/>
      <c r="N57" s="2"/>
      <c r="O57" s="2"/>
      <c r="P57" s="2"/>
      <c r="Q57" s="2"/>
      <c r="R57" s="2"/>
      <c r="S57" s="2" t="str">
        <f t="shared" si="19"/>
        <v>Декларация о соответствии</v>
      </c>
      <c r="T57" s="2" t="str">
        <f>"ЕАЭС N RU Д-RU.РА01.В.67464/24"</f>
        <v>ЕАЭС N RU Д-RU.РА01.В.67464/24</v>
      </c>
      <c r="U57" s="2" t="s">
        <v>29</v>
      </c>
      <c r="V57" s="2" t="str">
        <f t="shared" si="23"/>
        <v>Коробка (UNIT)</v>
      </c>
      <c r="W57" s="2"/>
      <c r="X57" s="2">
        <v>1000</v>
      </c>
      <c r="Y57" s="2" t="str">
        <f t="shared" si="22"/>
        <v>Novexx_Box_Long_80x100.for</v>
      </c>
    </row>
    <row r="58" spans="1:25" x14ac:dyDescent="0.25">
      <c r="A58" s="2" t="s">
        <v>81</v>
      </c>
      <c r="B58" s="2" t="str">
        <f>"Карамель леденцовая «SWEET RACE» ассорти"</f>
        <v>Карамель леденцовая «SWEET RACE» ассорти</v>
      </c>
      <c r="C58" s="2" t="str">
        <f>"нет"</f>
        <v>нет</v>
      </c>
      <c r="D58" s="2" t="str">
        <f>"04607033644254"</f>
        <v>04607033644254</v>
      </c>
      <c r="E58" s="2" t="str">
        <f t="shared" si="21"/>
        <v>Сладости и кондитерские_x000D_ 
изделия (44)</v>
      </c>
      <c r="F58" s="2" t="str">
        <f t="shared" si="20"/>
        <v>1704907100</v>
      </c>
      <c r="G58" s="2"/>
      <c r="H58" s="2" t="str">
        <f t="shared" si="17"/>
        <v>ООО «МАЛВИКЪ»</v>
      </c>
      <c r="I58" s="2" t="str">
        <f t="shared" ref="I58:I89" si="24">"ООО «МАЛВИКЪ»"</f>
        <v>ООО «МАЛВИКЪ»</v>
      </c>
      <c r="J58" s="2">
        <v>0</v>
      </c>
      <c r="K58" s="2"/>
      <c r="L58" s="2"/>
      <c r="M58" s="2"/>
      <c r="N58" s="2"/>
      <c r="O58" s="2"/>
      <c r="P58" s="2"/>
      <c r="Q58" s="2"/>
      <c r="R58" s="2"/>
      <c r="S58" s="2" t="str">
        <f t="shared" si="19"/>
        <v>Декларация о соответствии</v>
      </c>
      <c r="T58" s="2" t="str">
        <f>"ЕАЭС N RU Д-RU.РА01.В.67464/24"</f>
        <v>ЕАЭС N RU Д-RU.РА01.В.67464/24</v>
      </c>
      <c r="U58" s="2" t="s">
        <v>29</v>
      </c>
      <c r="V58" s="2" t="str">
        <f t="shared" si="23"/>
        <v>Коробка (UNIT)</v>
      </c>
      <c r="W58" s="2"/>
      <c r="X58" s="2">
        <v>6000</v>
      </c>
      <c r="Y58" s="2" t="str">
        <f t="shared" si="22"/>
        <v>Novexx_Box_Long_80x100.for</v>
      </c>
    </row>
    <row r="59" spans="1:25" x14ac:dyDescent="0.25">
      <c r="A59" s="2" t="s">
        <v>82</v>
      </c>
      <c r="B59" s="2" t="str">
        <f>"Карамель леденцовая «SWEET RACE» ассорти"</f>
        <v>Карамель леденцовая «SWEET RACE» ассорти</v>
      </c>
      <c r="C59" s="2" t="str">
        <f>"нет"</f>
        <v>нет</v>
      </c>
      <c r="D59" s="2" t="str">
        <f>"04607033644469"</f>
        <v>04607033644469</v>
      </c>
      <c r="E59" s="2" t="str">
        <f t="shared" si="21"/>
        <v>Сладости и кондитерские_x000D_ 
изделия (44)</v>
      </c>
      <c r="F59" s="2" t="str">
        <f t="shared" si="20"/>
        <v>1704907100</v>
      </c>
      <c r="G59" s="2"/>
      <c r="H59" s="2" t="str">
        <f t="shared" si="17"/>
        <v>ООО «МАЛВИКЪ»</v>
      </c>
      <c r="I59" s="2" t="str">
        <f t="shared" si="24"/>
        <v>ООО «МАЛВИКЪ»</v>
      </c>
      <c r="J59" s="2">
        <v>0</v>
      </c>
      <c r="K59" s="2"/>
      <c r="L59" s="2"/>
      <c r="M59" s="2"/>
      <c r="N59" s="2"/>
      <c r="O59" s="2"/>
      <c r="P59" s="2"/>
      <c r="Q59" s="2"/>
      <c r="R59" s="2"/>
      <c r="S59" s="2" t="str">
        <f t="shared" si="19"/>
        <v>Декларация о соответствии</v>
      </c>
      <c r="T59" s="2" t="str">
        <f>"ЕАЭС N RU Д-RU.РА01.В.67464/24"</f>
        <v>ЕАЭС N RU Д-RU.РА01.В.67464/24</v>
      </c>
      <c r="U59" s="2" t="s">
        <v>29</v>
      </c>
      <c r="V59" s="2" t="str">
        <f t="shared" si="23"/>
        <v>Коробка (UNIT)</v>
      </c>
      <c r="W59" s="2"/>
      <c r="X59" s="2">
        <v>500</v>
      </c>
      <c r="Y59" s="2" t="str">
        <f t="shared" si="22"/>
        <v>Novexx_Box_Long_80x100.for</v>
      </c>
    </row>
    <row r="60" spans="1:25" x14ac:dyDescent="0.25">
      <c r="A60" s="2" t="s">
        <v>83</v>
      </c>
      <c r="B60" s="2" t="str">
        <f>"Карамель леденцовая «SWEET RINGS» ANIMALS"</f>
        <v>Карамель леденцовая «SWEET RINGS» ANIMALS</v>
      </c>
      <c r="C60" s="2" t="str">
        <f t="shared" ref="C60:C74" si="25">"ТМ МАЛВИКЪ"</f>
        <v>ТМ МАЛВИКЪ</v>
      </c>
      <c r="D60" s="2" t="str">
        <f>"04607033645022"</f>
        <v>04607033645022</v>
      </c>
      <c r="E60" s="2" t="str">
        <f>"Сладости и кондитерские_x000D_
 изделия (4)"</f>
        <v>Сладости и кондитерские_x000D_
 изделия (4)</v>
      </c>
      <c r="F60" s="2" t="str">
        <f t="shared" si="20"/>
        <v>1704907100</v>
      </c>
      <c r="G60" s="2"/>
      <c r="H60" s="2" t="str">
        <f t="shared" si="17"/>
        <v>ООО «МАЛВИКЪ»</v>
      </c>
      <c r="I60" s="2" t="str">
        <f t="shared" si="24"/>
        <v>ООО «МАЛВИКЪ»</v>
      </c>
      <c r="J60" s="2">
        <v>0</v>
      </c>
      <c r="K60" s="2"/>
      <c r="L60" s="2"/>
      <c r="M60" s="2" t="str">
        <f>"Месяц"</f>
        <v>Месяц</v>
      </c>
      <c r="N60" s="2">
        <v>12</v>
      </c>
      <c r="O60" s="2" t="s">
        <v>26</v>
      </c>
      <c r="P60" s="2"/>
      <c r="Q60" s="2"/>
      <c r="R60" s="2"/>
      <c r="S60" s="2" t="str">
        <f t="shared" si="19"/>
        <v>Декларация о соответствии</v>
      </c>
      <c r="T60" s="2" t="str">
        <f t="shared" ref="T60:T74" si="26">"ЕАЭС N RU Д-RU.РА04.В.50071/23"</f>
        <v>ЕАЭС N RU Д-RU.РА04.В.50071/23</v>
      </c>
      <c r="U60" s="2" t="s">
        <v>42</v>
      </c>
      <c r="V60" s="2" t="str">
        <f t="shared" si="23"/>
        <v>Коробка (UNIT)</v>
      </c>
      <c r="W60" s="2"/>
      <c r="X60" s="2">
        <v>1000</v>
      </c>
      <c r="Y60" s="2" t="str">
        <f>"Novexx_Box_Short_80x80 — пакет.for"</f>
        <v>Novexx_Box_Short_80x80 — пакет.for</v>
      </c>
    </row>
    <row r="61" spans="1:25" x14ac:dyDescent="0.25">
      <c r="A61" s="2" t="s">
        <v>84</v>
      </c>
      <c r="B61" s="2" t="str">
        <f>"Карамель леденцовая «SWEET RINGS» ANIMALS"</f>
        <v>Карамель леденцовая «SWEET RINGS» ANIMALS</v>
      </c>
      <c r="C61" s="2" t="str">
        <f t="shared" si="25"/>
        <v>ТМ МАЛВИКЪ</v>
      </c>
      <c r="D61" s="2" t="str">
        <f>"04607033645046"</f>
        <v>04607033645046</v>
      </c>
      <c r="E61" s="2" t="str">
        <f t="shared" ref="E61:E94" si="27">"Сладости и кондитерские_x000D_ 
изделия (44)"</f>
        <v>Сладости и кондитерские_x000D_ 
изделия (44)</v>
      </c>
      <c r="F61" s="2" t="str">
        <f t="shared" si="20"/>
        <v>1704907100</v>
      </c>
      <c r="G61" s="2"/>
      <c r="H61" s="2" t="str">
        <f t="shared" si="17"/>
        <v>ООО «МАЛВИКЪ»</v>
      </c>
      <c r="I61" s="2" t="str">
        <f t="shared" si="24"/>
        <v>ООО «МАЛВИКЪ»</v>
      </c>
      <c r="J61" s="2">
        <v>0</v>
      </c>
      <c r="K61" s="2"/>
      <c r="L61" s="2"/>
      <c r="M61" s="2"/>
      <c r="N61" s="2"/>
      <c r="O61" s="2"/>
      <c r="P61" s="2"/>
      <c r="Q61" s="2"/>
      <c r="R61" s="2"/>
      <c r="S61" s="2" t="str">
        <f t="shared" si="19"/>
        <v>Декларация о соответствии</v>
      </c>
      <c r="T61" s="2" t="str">
        <f t="shared" si="26"/>
        <v>ЕАЭС N RU Д-RU.РА04.В.50071/23</v>
      </c>
      <c r="U61" s="2" t="s">
        <v>42</v>
      </c>
      <c r="V61" s="2" t="str">
        <f t="shared" si="23"/>
        <v>Коробка (UNIT)</v>
      </c>
      <c r="W61" s="2"/>
      <c r="X61" s="2">
        <v>6000</v>
      </c>
      <c r="Y61" s="2" t="str">
        <f t="shared" ref="Y61:Y94" si="28">"Novexx_Box_Long_80x100.for"</f>
        <v>Novexx_Box_Long_80x100.for</v>
      </c>
    </row>
    <row r="62" spans="1:25" x14ac:dyDescent="0.25">
      <c r="A62" s="2" t="s">
        <v>85</v>
      </c>
      <c r="B62" s="2" t="str">
        <f>"Карамель леденцовая «SWEET RINGS» ANIMALS"</f>
        <v>Карамель леденцовая «SWEET RINGS» ANIMALS</v>
      </c>
      <c r="C62" s="2" t="str">
        <f t="shared" si="25"/>
        <v>ТМ МАЛВИКЪ</v>
      </c>
      <c r="D62" s="2" t="str">
        <f>"04607033645282"</f>
        <v>04607033645282</v>
      </c>
      <c r="E62" s="2" t="str">
        <f t="shared" si="27"/>
        <v>Сладости и кондитерские_x000D_ 
изделия (44)</v>
      </c>
      <c r="F62" s="2" t="str">
        <f t="shared" si="20"/>
        <v>1704907100</v>
      </c>
      <c r="G62" s="2"/>
      <c r="H62" s="2" t="str">
        <f t="shared" ref="H62:H93" si="29">"ООО «МАЛВИКЪ»"</f>
        <v>ООО «МАЛВИКЪ»</v>
      </c>
      <c r="I62" s="2" t="str">
        <f t="shared" si="24"/>
        <v>ООО «МАЛВИКЪ»</v>
      </c>
      <c r="J62" s="2">
        <v>0</v>
      </c>
      <c r="K62" s="2"/>
      <c r="L62" s="2"/>
      <c r="M62" s="2"/>
      <c r="N62" s="2"/>
      <c r="O62" s="2"/>
      <c r="P62" s="2"/>
      <c r="Q62" s="2"/>
      <c r="R62" s="2"/>
      <c r="S62" s="2" t="str">
        <f t="shared" si="19"/>
        <v>Декларация о соответствии</v>
      </c>
      <c r="T62" s="2" t="str">
        <f t="shared" si="26"/>
        <v>ЕАЭС N RU Д-RU.РА04.В.50071/23</v>
      </c>
      <c r="U62" s="2" t="s">
        <v>42</v>
      </c>
      <c r="V62" s="2" t="str">
        <f t="shared" si="23"/>
        <v>Коробка (UNIT)</v>
      </c>
      <c r="W62" s="2"/>
      <c r="X62" s="2">
        <v>500</v>
      </c>
      <c r="Y62" s="2" t="str">
        <f t="shared" si="28"/>
        <v>Novexx_Box_Long_80x100.for</v>
      </c>
    </row>
    <row r="63" spans="1:25" x14ac:dyDescent="0.25">
      <c r="A63" s="2" t="s">
        <v>86</v>
      </c>
      <c r="B63" s="2" t="str">
        <f>"Карамель леденцовая «SWEET RINGS» ANIME"</f>
        <v>Карамель леденцовая «SWEET RINGS» ANIME</v>
      </c>
      <c r="C63" s="2" t="str">
        <f t="shared" si="25"/>
        <v>ТМ МАЛВИКЪ</v>
      </c>
      <c r="D63" s="2" t="str">
        <f>"04607033644964"</f>
        <v>04607033644964</v>
      </c>
      <c r="E63" s="2" t="str">
        <f t="shared" si="27"/>
        <v>Сладости и кондитерские_x000D_ 
изделия (44)</v>
      </c>
      <c r="F63" s="2" t="str">
        <f t="shared" si="20"/>
        <v>1704907100</v>
      </c>
      <c r="G63" s="2"/>
      <c r="H63" s="2" t="str">
        <f t="shared" si="29"/>
        <v>ООО «МАЛВИКЪ»</v>
      </c>
      <c r="I63" s="2" t="str">
        <f t="shared" si="24"/>
        <v>ООО «МАЛВИКЪ»</v>
      </c>
      <c r="J63" s="2">
        <v>0</v>
      </c>
      <c r="K63" s="2"/>
      <c r="L63" s="2"/>
      <c r="M63" s="2"/>
      <c r="N63" s="2"/>
      <c r="O63" s="2"/>
      <c r="P63" s="2"/>
      <c r="Q63" s="2"/>
      <c r="R63" s="2"/>
      <c r="S63" s="2" t="str">
        <f t="shared" si="19"/>
        <v>Декларация о соответствии</v>
      </c>
      <c r="T63" s="2" t="str">
        <f t="shared" si="26"/>
        <v>ЕАЭС N RU Д-RU.РА04.В.50071/23</v>
      </c>
      <c r="U63" s="2" t="s">
        <v>42</v>
      </c>
      <c r="V63" s="2" t="str">
        <f t="shared" si="23"/>
        <v>Коробка (UNIT)</v>
      </c>
      <c r="W63" s="2"/>
      <c r="X63" s="2">
        <v>1000</v>
      </c>
      <c r="Y63" s="2" t="str">
        <f t="shared" si="28"/>
        <v>Novexx_Box_Long_80x100.for</v>
      </c>
    </row>
    <row r="64" spans="1:25" x14ac:dyDescent="0.25">
      <c r="A64" s="2" t="s">
        <v>87</v>
      </c>
      <c r="B64" s="2" t="str">
        <f>"Карамель леденцовая «SWEET RINGS» ANIME"</f>
        <v>Карамель леденцовая «SWEET RINGS» ANIME</v>
      </c>
      <c r="C64" s="2" t="str">
        <f t="shared" si="25"/>
        <v>ТМ МАЛВИКЪ</v>
      </c>
      <c r="D64" s="2" t="str">
        <f>"04607033644988"</f>
        <v>04607033644988</v>
      </c>
      <c r="E64" s="2" t="str">
        <f t="shared" si="27"/>
        <v>Сладости и кондитерские_x000D_ 
изделия (44)</v>
      </c>
      <c r="F64" s="2" t="str">
        <f t="shared" si="20"/>
        <v>1704907100</v>
      </c>
      <c r="G64" s="2"/>
      <c r="H64" s="2" t="str">
        <f t="shared" si="29"/>
        <v>ООО «МАЛВИКЪ»</v>
      </c>
      <c r="I64" s="2" t="str">
        <f t="shared" si="24"/>
        <v>ООО «МАЛВИКЪ»</v>
      </c>
      <c r="J64" s="2">
        <v>0</v>
      </c>
      <c r="K64" s="2"/>
      <c r="L64" s="2"/>
      <c r="M64" s="2"/>
      <c r="N64" s="2"/>
      <c r="O64" s="2"/>
      <c r="P64" s="2"/>
      <c r="Q64" s="2"/>
      <c r="R64" s="2"/>
      <c r="S64" s="2" t="str">
        <f t="shared" si="19"/>
        <v>Декларация о соответствии</v>
      </c>
      <c r="T64" s="2" t="str">
        <f t="shared" si="26"/>
        <v>ЕАЭС N RU Д-RU.РА04.В.50071/23</v>
      </c>
      <c r="U64" s="2" t="s">
        <v>42</v>
      </c>
      <c r="V64" s="2" t="str">
        <f t="shared" si="23"/>
        <v>Коробка (UNIT)</v>
      </c>
      <c r="W64" s="2"/>
      <c r="X64" s="2">
        <v>6000</v>
      </c>
      <c r="Y64" s="2" t="str">
        <f t="shared" si="28"/>
        <v>Novexx_Box_Long_80x100.for</v>
      </c>
    </row>
    <row r="65" spans="1:25" x14ac:dyDescent="0.25">
      <c r="A65" s="2" t="s">
        <v>88</v>
      </c>
      <c r="B65" s="2" t="str">
        <f>"Карамель леденцовая «SWEET RINGS» ANIME"</f>
        <v>Карамель леденцовая «SWEET RINGS» ANIME</v>
      </c>
      <c r="C65" s="2" t="str">
        <f t="shared" si="25"/>
        <v>ТМ МАЛВИКЪ</v>
      </c>
      <c r="D65" s="2" t="str">
        <f>"04607033645268"</f>
        <v>04607033645268</v>
      </c>
      <c r="E65" s="2" t="str">
        <f t="shared" si="27"/>
        <v>Сладости и кондитерские_x000D_ 
изделия (44)</v>
      </c>
      <c r="F65" s="2" t="str">
        <f t="shared" si="20"/>
        <v>1704907100</v>
      </c>
      <c r="G65" s="2"/>
      <c r="H65" s="2" t="str">
        <f t="shared" si="29"/>
        <v>ООО «МАЛВИКЪ»</v>
      </c>
      <c r="I65" s="2" t="str">
        <f t="shared" si="24"/>
        <v>ООО «МАЛВИКЪ»</v>
      </c>
      <c r="J65" s="2">
        <v>0</v>
      </c>
      <c r="K65" s="2"/>
      <c r="L65" s="2"/>
      <c r="M65" s="2"/>
      <c r="N65" s="2"/>
      <c r="O65" s="2"/>
      <c r="P65" s="2"/>
      <c r="Q65" s="2"/>
      <c r="R65" s="2"/>
      <c r="S65" s="2" t="str">
        <f t="shared" si="19"/>
        <v>Декларация о соответствии</v>
      </c>
      <c r="T65" s="2" t="str">
        <f t="shared" si="26"/>
        <v>ЕАЭС N RU Д-RU.РА04.В.50071/23</v>
      </c>
      <c r="U65" s="2" t="s">
        <v>42</v>
      </c>
      <c r="V65" s="2" t="str">
        <f t="shared" si="23"/>
        <v>Коробка (UNIT)</v>
      </c>
      <c r="W65" s="2"/>
      <c r="X65" s="2">
        <v>500</v>
      </c>
      <c r="Y65" s="2" t="str">
        <f t="shared" si="28"/>
        <v>Novexx_Box_Long_80x100.for</v>
      </c>
    </row>
    <row r="66" spans="1:25" x14ac:dyDescent="0.25">
      <c r="A66" s="2" t="s">
        <v>89</v>
      </c>
      <c r="B66" s="2" t="str">
        <f>"Карамель леденцовая «SWEET RINGS» COMICS"</f>
        <v>Карамель леденцовая «SWEET RINGS» COMICS</v>
      </c>
      <c r="C66" s="2" t="str">
        <f t="shared" si="25"/>
        <v>ТМ МАЛВИКЪ</v>
      </c>
      <c r="D66" s="2" t="str">
        <f>"04607033645053"</f>
        <v>04607033645053</v>
      </c>
      <c r="E66" s="2" t="str">
        <f t="shared" si="27"/>
        <v>Сладости и кондитерские_x000D_ 
изделия (44)</v>
      </c>
      <c r="F66" s="2" t="str">
        <f t="shared" si="20"/>
        <v>1704907100</v>
      </c>
      <c r="G66" s="2"/>
      <c r="H66" s="2" t="str">
        <f t="shared" si="29"/>
        <v>ООО «МАЛВИКЪ»</v>
      </c>
      <c r="I66" s="2" t="str">
        <f t="shared" si="24"/>
        <v>ООО «МАЛВИКЪ»</v>
      </c>
      <c r="J66" s="2">
        <v>0</v>
      </c>
      <c r="K66" s="2"/>
      <c r="L66" s="2"/>
      <c r="M66" s="2"/>
      <c r="N66" s="2"/>
      <c r="O66" s="2"/>
      <c r="P66" s="2"/>
      <c r="Q66" s="2"/>
      <c r="R66" s="2"/>
      <c r="S66" s="2" t="str">
        <f t="shared" si="19"/>
        <v>Декларация о соответствии</v>
      </c>
      <c r="T66" s="2" t="str">
        <f t="shared" si="26"/>
        <v>ЕАЭС N RU Д-RU.РА04.В.50071/23</v>
      </c>
      <c r="U66" s="2" t="s">
        <v>42</v>
      </c>
      <c r="V66" s="2" t="str">
        <f t="shared" si="23"/>
        <v>Коробка (UNIT)</v>
      </c>
      <c r="W66" s="2"/>
      <c r="X66" s="2">
        <v>1000</v>
      </c>
      <c r="Y66" s="2" t="str">
        <f t="shared" si="28"/>
        <v>Novexx_Box_Long_80x100.for</v>
      </c>
    </row>
    <row r="67" spans="1:25" x14ac:dyDescent="0.25">
      <c r="A67" s="2" t="s">
        <v>90</v>
      </c>
      <c r="B67" s="2" t="str">
        <f>"Карамель леденцовая «SWEET RINGS» COMICS"</f>
        <v>Карамель леденцовая «SWEET RINGS» COMICS</v>
      </c>
      <c r="C67" s="2" t="str">
        <f t="shared" si="25"/>
        <v>ТМ МАЛВИКЪ</v>
      </c>
      <c r="D67" s="2" t="str">
        <f>"04607033645077"</f>
        <v>04607033645077</v>
      </c>
      <c r="E67" s="2" t="str">
        <f t="shared" si="27"/>
        <v>Сладости и кондитерские_x000D_ 
изделия (44)</v>
      </c>
      <c r="F67" s="2" t="str">
        <f t="shared" si="20"/>
        <v>1704907100</v>
      </c>
      <c r="G67" s="2"/>
      <c r="H67" s="2" t="str">
        <f t="shared" si="29"/>
        <v>ООО «МАЛВИКЪ»</v>
      </c>
      <c r="I67" s="2" t="str">
        <f t="shared" si="24"/>
        <v>ООО «МАЛВИКЪ»</v>
      </c>
      <c r="J67" s="2">
        <v>0</v>
      </c>
      <c r="K67" s="2"/>
      <c r="L67" s="2"/>
      <c r="M67" s="2"/>
      <c r="N67" s="2"/>
      <c r="O67" s="2"/>
      <c r="P67" s="2"/>
      <c r="Q67" s="2"/>
      <c r="R67" s="2"/>
      <c r="S67" s="2" t="str">
        <f t="shared" si="19"/>
        <v>Декларация о соответствии</v>
      </c>
      <c r="T67" s="2" t="str">
        <f t="shared" si="26"/>
        <v>ЕАЭС N RU Д-RU.РА04.В.50071/23</v>
      </c>
      <c r="U67" s="2" t="s">
        <v>42</v>
      </c>
      <c r="V67" s="2" t="str">
        <f t="shared" si="23"/>
        <v>Коробка (UNIT)</v>
      </c>
      <c r="W67" s="2"/>
      <c r="X67" s="2">
        <v>6000</v>
      </c>
      <c r="Y67" s="2" t="str">
        <f t="shared" si="28"/>
        <v>Novexx_Box_Long_80x100.for</v>
      </c>
    </row>
    <row r="68" spans="1:25" x14ac:dyDescent="0.25">
      <c r="A68" s="2" t="s">
        <v>91</v>
      </c>
      <c r="B68" s="2" t="str">
        <f>"Карамель леденцовая «SWEET RINGS» DRINKS"</f>
        <v>Карамель леденцовая «SWEET RINGS» DRINKS</v>
      </c>
      <c r="C68" s="2" t="str">
        <f t="shared" si="25"/>
        <v>ТМ МАЛВИКЪ</v>
      </c>
      <c r="D68" s="2" t="str">
        <f>"04607033644094"</f>
        <v>04607033644094</v>
      </c>
      <c r="E68" s="2" t="str">
        <f t="shared" si="27"/>
        <v>Сладости и кондитерские_x000D_ 
изделия (44)</v>
      </c>
      <c r="F68" s="2" t="str">
        <f t="shared" si="20"/>
        <v>1704907100</v>
      </c>
      <c r="G68" s="2"/>
      <c r="H68" s="2" t="str">
        <f t="shared" si="29"/>
        <v>ООО «МАЛВИКЪ»</v>
      </c>
      <c r="I68" s="2" t="str">
        <f t="shared" si="24"/>
        <v>ООО «МАЛВИКЪ»</v>
      </c>
      <c r="J68" s="2">
        <v>0</v>
      </c>
      <c r="K68" s="2"/>
      <c r="L68" s="2"/>
      <c r="M68" s="2"/>
      <c r="N68" s="2"/>
      <c r="O68" s="2"/>
      <c r="P68" s="2"/>
      <c r="Q68" s="2"/>
      <c r="R68" s="2"/>
      <c r="S68" s="2" t="str">
        <f t="shared" si="19"/>
        <v>Декларация о соответствии</v>
      </c>
      <c r="T68" s="2" t="str">
        <f t="shared" si="26"/>
        <v>ЕАЭС N RU Д-RU.РА04.В.50071/23</v>
      </c>
      <c r="U68" s="2" t="s">
        <v>42</v>
      </c>
      <c r="V68" s="2" t="str">
        <f t="shared" si="23"/>
        <v>Коробка (UNIT)</v>
      </c>
      <c r="W68" s="2"/>
      <c r="X68" s="2">
        <v>6000</v>
      </c>
      <c r="Y68" s="2" t="str">
        <f t="shared" si="28"/>
        <v>Novexx_Box_Long_80x100.for</v>
      </c>
    </row>
    <row r="69" spans="1:25" x14ac:dyDescent="0.25">
      <c r="A69" s="2" t="s">
        <v>92</v>
      </c>
      <c r="B69" s="2" t="str">
        <f>"Карамель леденцовая «SWEET RINGS» DRINKS"</f>
        <v>Карамель леденцовая «SWEET RINGS» DRINKS</v>
      </c>
      <c r="C69" s="2" t="str">
        <f t="shared" si="25"/>
        <v>ТМ МАЛВИКЪ</v>
      </c>
      <c r="D69" s="2" t="str">
        <f>"04607033644520"</f>
        <v>04607033644520</v>
      </c>
      <c r="E69" s="2" t="str">
        <f t="shared" si="27"/>
        <v>Сладости и кондитерские_x000D_ 
изделия (44)</v>
      </c>
      <c r="F69" s="2" t="str">
        <f t="shared" si="20"/>
        <v>1704907100</v>
      </c>
      <c r="G69" s="2"/>
      <c r="H69" s="2" t="str">
        <f t="shared" si="29"/>
        <v>ООО «МАЛВИКЪ»</v>
      </c>
      <c r="I69" s="2" t="str">
        <f t="shared" si="24"/>
        <v>ООО «МАЛВИКЪ»</v>
      </c>
      <c r="J69" s="2">
        <v>0</v>
      </c>
      <c r="K69" s="2"/>
      <c r="L69" s="2"/>
      <c r="M69" s="2"/>
      <c r="N69" s="2"/>
      <c r="O69" s="2"/>
      <c r="P69" s="2"/>
      <c r="Q69" s="2"/>
      <c r="R69" s="2"/>
      <c r="S69" s="2" t="str">
        <f t="shared" si="19"/>
        <v>Декларация о соответствии</v>
      </c>
      <c r="T69" s="2" t="str">
        <f t="shared" si="26"/>
        <v>ЕАЭС N RU Д-RU.РА04.В.50071/23</v>
      </c>
      <c r="U69" s="2" t="s">
        <v>42</v>
      </c>
      <c r="V69" s="2" t="str">
        <f t="shared" si="23"/>
        <v>Коробка (UNIT)</v>
      </c>
      <c r="W69" s="2"/>
      <c r="X69" s="2">
        <v>500</v>
      </c>
      <c r="Y69" s="2" t="str">
        <f t="shared" si="28"/>
        <v>Novexx_Box_Long_80x100.for</v>
      </c>
    </row>
    <row r="70" spans="1:25" x14ac:dyDescent="0.25">
      <c r="A70" s="2" t="s">
        <v>93</v>
      </c>
      <c r="B70" s="2" t="str">
        <f>"Карамель леденцовая «SWEET RINGS» LOVE"</f>
        <v>Карамель леденцовая «SWEET RINGS» LOVE</v>
      </c>
      <c r="C70" s="2" t="str">
        <f t="shared" si="25"/>
        <v>ТМ МАЛВИКЪ</v>
      </c>
      <c r="D70" s="2" t="str">
        <f>"04607033644995"</f>
        <v>04607033644995</v>
      </c>
      <c r="E70" s="2" t="str">
        <f t="shared" si="27"/>
        <v>Сладости и кондитерские_x000D_ 
изделия (44)</v>
      </c>
      <c r="F70" s="2" t="str">
        <f t="shared" si="20"/>
        <v>1704907100</v>
      </c>
      <c r="G70" s="2"/>
      <c r="H70" s="2" t="str">
        <f t="shared" si="29"/>
        <v>ООО «МАЛВИКЪ»</v>
      </c>
      <c r="I70" s="2" t="str">
        <f t="shared" si="24"/>
        <v>ООО «МАЛВИКЪ»</v>
      </c>
      <c r="J70" s="2">
        <v>0</v>
      </c>
      <c r="K70" s="2"/>
      <c r="L70" s="2"/>
      <c r="M70" s="2"/>
      <c r="N70" s="2"/>
      <c r="O70" s="2"/>
      <c r="P70" s="2"/>
      <c r="Q70" s="2"/>
      <c r="R70" s="2"/>
      <c r="S70" s="2" t="str">
        <f t="shared" si="19"/>
        <v>Декларация о соответствии</v>
      </c>
      <c r="T70" s="2" t="str">
        <f t="shared" si="26"/>
        <v>ЕАЭС N RU Д-RU.РА04.В.50071/23</v>
      </c>
      <c r="U70" s="2" t="s">
        <v>42</v>
      </c>
      <c r="V70" s="2" t="str">
        <f t="shared" si="23"/>
        <v>Коробка (UNIT)</v>
      </c>
      <c r="W70" s="2"/>
      <c r="X70" s="2">
        <v>1000</v>
      </c>
      <c r="Y70" s="2" t="str">
        <f t="shared" si="28"/>
        <v>Novexx_Box_Long_80x100.for</v>
      </c>
    </row>
    <row r="71" spans="1:25" x14ac:dyDescent="0.25">
      <c r="A71" s="2" t="s">
        <v>94</v>
      </c>
      <c r="B71" s="2" t="str">
        <f>"Карамель леденцовая «SWEET RINGS» LOVE"</f>
        <v>Карамель леденцовая «SWEET RINGS» LOVE</v>
      </c>
      <c r="C71" s="2" t="str">
        <f t="shared" si="25"/>
        <v>ТМ МАЛВИКЪ</v>
      </c>
      <c r="D71" s="2" t="str">
        <f>"04607033645015"</f>
        <v>04607033645015</v>
      </c>
      <c r="E71" s="2" t="str">
        <f t="shared" si="27"/>
        <v>Сладости и кондитерские_x000D_ 
изделия (44)</v>
      </c>
      <c r="F71" s="2" t="str">
        <f t="shared" si="20"/>
        <v>1704907100</v>
      </c>
      <c r="G71" s="2"/>
      <c r="H71" s="2" t="str">
        <f t="shared" si="29"/>
        <v>ООО «МАЛВИКЪ»</v>
      </c>
      <c r="I71" s="2" t="str">
        <f t="shared" si="24"/>
        <v>ООО «МАЛВИКЪ»</v>
      </c>
      <c r="J71" s="2">
        <v>0</v>
      </c>
      <c r="K71" s="2"/>
      <c r="L71" s="2"/>
      <c r="M71" s="2"/>
      <c r="N71" s="2"/>
      <c r="O71" s="2"/>
      <c r="P71" s="2"/>
      <c r="Q71" s="2"/>
      <c r="R71" s="2"/>
      <c r="S71" s="2" t="str">
        <f t="shared" si="19"/>
        <v>Декларация о соответствии</v>
      </c>
      <c r="T71" s="2" t="str">
        <f t="shared" si="26"/>
        <v>ЕАЭС N RU Д-RU.РА04.В.50071/23</v>
      </c>
      <c r="U71" s="2" t="s">
        <v>42</v>
      </c>
      <c r="V71" s="2" t="str">
        <f t="shared" si="23"/>
        <v>Коробка (UNIT)</v>
      </c>
      <c r="W71" s="2"/>
      <c r="X71" s="2">
        <v>6000</v>
      </c>
      <c r="Y71" s="2" t="str">
        <f t="shared" si="28"/>
        <v>Novexx_Box_Long_80x100.for</v>
      </c>
    </row>
    <row r="72" spans="1:25" x14ac:dyDescent="0.25">
      <c r="A72" s="2" t="s">
        <v>95</v>
      </c>
      <c r="B72" s="2" t="str">
        <f>"Карамель леденцовая «SWEET RINGS» MIX"</f>
        <v>Карамель леденцовая «SWEET RINGS» MIX</v>
      </c>
      <c r="C72" s="2" t="str">
        <f t="shared" si="25"/>
        <v>ТМ МАЛВИКЪ</v>
      </c>
      <c r="D72" s="2" t="str">
        <f>"04607033643059"</f>
        <v>04607033643059</v>
      </c>
      <c r="E72" s="2" t="str">
        <f t="shared" si="27"/>
        <v>Сладости и кондитерские_x000D_ 
изделия (44)</v>
      </c>
      <c r="F72" s="2" t="str">
        <f t="shared" si="20"/>
        <v>1704907100</v>
      </c>
      <c r="G72" s="2"/>
      <c r="H72" s="2" t="str">
        <f t="shared" si="29"/>
        <v>ООО «МАЛВИКЪ»</v>
      </c>
      <c r="I72" s="2" t="str">
        <f t="shared" si="24"/>
        <v>ООО «МАЛВИКЪ»</v>
      </c>
      <c r="J72" s="2">
        <v>0</v>
      </c>
      <c r="K72" s="2"/>
      <c r="L72" s="2"/>
      <c r="M72" s="2"/>
      <c r="N72" s="2"/>
      <c r="O72" s="2"/>
      <c r="P72" s="2"/>
      <c r="Q72" s="2"/>
      <c r="R72" s="2"/>
      <c r="S72" s="2" t="str">
        <f t="shared" si="19"/>
        <v>Декларация о соответствии</v>
      </c>
      <c r="T72" s="2" t="str">
        <f t="shared" si="26"/>
        <v>ЕАЭС N RU Д-RU.РА04.В.50071/23</v>
      </c>
      <c r="U72" s="2" t="s">
        <v>42</v>
      </c>
      <c r="V72" s="2" t="str">
        <f t="shared" si="23"/>
        <v>Коробка (UNIT)</v>
      </c>
      <c r="W72" s="2"/>
      <c r="X72" s="2">
        <v>1000</v>
      </c>
      <c r="Y72" s="2" t="str">
        <f t="shared" si="28"/>
        <v>Novexx_Box_Long_80x100.for</v>
      </c>
    </row>
    <row r="73" spans="1:25" x14ac:dyDescent="0.25">
      <c r="A73" s="2" t="s">
        <v>96</v>
      </c>
      <c r="B73" s="2" t="str">
        <f>"Карамель леденцовая «SWEET RINGS» MIX"</f>
        <v>Карамель леденцовая «SWEET RINGS» MIX</v>
      </c>
      <c r="C73" s="2" t="str">
        <f t="shared" si="25"/>
        <v>ТМ МАЛВИКЪ</v>
      </c>
      <c r="D73" s="2" t="str">
        <f>"04607033644100"</f>
        <v>04607033644100</v>
      </c>
      <c r="E73" s="2" t="str">
        <f t="shared" si="27"/>
        <v>Сладости и кондитерские_x000D_ 
изделия (44)</v>
      </c>
      <c r="F73" s="2" t="str">
        <f t="shared" si="20"/>
        <v>1704907100</v>
      </c>
      <c r="G73" s="2"/>
      <c r="H73" s="2" t="str">
        <f t="shared" si="29"/>
        <v>ООО «МАЛВИКЪ»</v>
      </c>
      <c r="I73" s="2" t="str">
        <f t="shared" si="24"/>
        <v>ООО «МАЛВИКЪ»</v>
      </c>
      <c r="J73" s="2">
        <v>0</v>
      </c>
      <c r="K73" s="2"/>
      <c r="L73" s="2"/>
      <c r="M73" s="2"/>
      <c r="N73" s="2"/>
      <c r="O73" s="2"/>
      <c r="P73" s="2"/>
      <c r="Q73" s="2"/>
      <c r="R73" s="2"/>
      <c r="S73" s="2" t="str">
        <f t="shared" ref="S73:S94" si="30">"Декларация о соответствии"</f>
        <v>Декларация о соответствии</v>
      </c>
      <c r="T73" s="2" t="str">
        <f t="shared" si="26"/>
        <v>ЕАЭС N RU Д-RU.РА04.В.50071/23</v>
      </c>
      <c r="U73" s="2" t="s">
        <v>42</v>
      </c>
      <c r="V73" s="2" t="str">
        <f t="shared" si="23"/>
        <v>Коробка (UNIT)</v>
      </c>
      <c r="W73" s="2"/>
      <c r="X73" s="2">
        <v>6000</v>
      </c>
      <c r="Y73" s="2" t="str">
        <f t="shared" si="28"/>
        <v>Novexx_Box_Long_80x100.for</v>
      </c>
    </row>
    <row r="74" spans="1:25" x14ac:dyDescent="0.25">
      <c r="A74" s="2" t="s">
        <v>97</v>
      </c>
      <c r="B74" s="2" t="str">
        <f>"Карамель леденцовая «SWEET RINGS» MIX"</f>
        <v>Карамель леденцовая «SWEET RINGS» MIX</v>
      </c>
      <c r="C74" s="2" t="str">
        <f t="shared" si="25"/>
        <v>ТМ МАЛВИКЪ</v>
      </c>
      <c r="D74" s="2" t="str">
        <f>"04607033644506"</f>
        <v>04607033644506</v>
      </c>
      <c r="E74" s="2" t="str">
        <f t="shared" si="27"/>
        <v>Сладости и кондитерские_x000D_ 
изделия (44)</v>
      </c>
      <c r="F74" s="2" t="str">
        <f t="shared" si="20"/>
        <v>1704907100</v>
      </c>
      <c r="G74" s="2"/>
      <c r="H74" s="2" t="str">
        <f t="shared" si="29"/>
        <v>ООО «МАЛВИКЪ»</v>
      </c>
      <c r="I74" s="2" t="str">
        <f t="shared" si="24"/>
        <v>ООО «МАЛВИКЪ»</v>
      </c>
      <c r="J74" s="2">
        <v>0</v>
      </c>
      <c r="K74" s="2"/>
      <c r="L74" s="2"/>
      <c r="M74" s="2"/>
      <c r="N74" s="2"/>
      <c r="O74" s="2"/>
      <c r="P74" s="2"/>
      <c r="Q74" s="2"/>
      <c r="R74" s="2"/>
      <c r="S74" s="2" t="str">
        <f t="shared" si="30"/>
        <v>Декларация о соответствии</v>
      </c>
      <c r="T74" s="2" t="str">
        <f t="shared" si="26"/>
        <v>ЕАЭС N RU Д-RU.РА04.В.50071/23</v>
      </c>
      <c r="U74" s="2" t="s">
        <v>42</v>
      </c>
      <c r="V74" s="2" t="str">
        <f t="shared" si="23"/>
        <v>Коробка (UNIT)</v>
      </c>
      <c r="W74" s="2"/>
      <c r="X74" s="2">
        <v>500</v>
      </c>
      <c r="Y74" s="2" t="str">
        <f t="shared" si="28"/>
        <v>Novexx_Box_Long_80x100.for</v>
      </c>
    </row>
    <row r="75" spans="1:25" x14ac:dyDescent="0.25">
      <c r="A75" s="2" t="s">
        <v>98</v>
      </c>
      <c r="B75" s="2" t="str">
        <f>"Карамель леденцовая «SWEET RINGS» СOOL"</f>
        <v>Карамель леденцовая «SWEET RINGS» СOOL</v>
      </c>
      <c r="C75" s="2" t="str">
        <f>"нет"</f>
        <v>нет</v>
      </c>
      <c r="D75" s="2" t="str">
        <f>"04607033642816"</f>
        <v>04607033642816</v>
      </c>
      <c r="E75" s="2" t="str">
        <f t="shared" si="27"/>
        <v>Сладости и кондитерские_x000D_ 
изделия (44)</v>
      </c>
      <c r="F75" s="2" t="str">
        <f t="shared" ref="F75:F106" si="31">"1704907100"</f>
        <v>1704907100</v>
      </c>
      <c r="G75" s="2"/>
      <c r="H75" s="2" t="str">
        <f t="shared" si="29"/>
        <v>ООО «МАЛВИКЪ»</v>
      </c>
      <c r="I75" s="2" t="str">
        <f t="shared" si="24"/>
        <v>ООО «МАЛВИКЪ»</v>
      </c>
      <c r="J75" s="2">
        <v>0</v>
      </c>
      <c r="K75" s="2"/>
      <c r="L75" s="2"/>
      <c r="M75" s="2"/>
      <c r="N75" s="2"/>
      <c r="O75" s="2"/>
      <c r="P75" s="2"/>
      <c r="Q75" s="2"/>
      <c r="R75" s="2"/>
      <c r="S75" s="2" t="str">
        <f t="shared" si="30"/>
        <v>Декларация о соответствии</v>
      </c>
      <c r="T75" s="2" t="str">
        <f>"ЕАЭС N RU Д-RU.РА01.В.67464/24"</f>
        <v>ЕАЭС N RU Д-RU.РА01.В.67464/24</v>
      </c>
      <c r="U75" s="2" t="s">
        <v>29</v>
      </c>
      <c r="V75" s="2" t="str">
        <f t="shared" si="23"/>
        <v>Коробка (UNIT)</v>
      </c>
      <c r="W75" s="2"/>
      <c r="X75" s="2">
        <v>400</v>
      </c>
      <c r="Y75" s="2" t="str">
        <f t="shared" si="28"/>
        <v>Novexx_Box_Long_80x100.for</v>
      </c>
    </row>
    <row r="76" spans="1:25" x14ac:dyDescent="0.25">
      <c r="A76" s="2" t="s">
        <v>99</v>
      </c>
      <c r="B76" s="2" t="str">
        <f>"Карамель леденцовая «SWEET RINGS» СOOL"</f>
        <v>Карамель леденцовая «SWEET RINGS» СOOL</v>
      </c>
      <c r="C76" s="2" t="str">
        <f t="shared" ref="C76:C96" si="32">"ТМ МАЛВИКЪ"</f>
        <v>ТМ МАЛВИКЪ</v>
      </c>
      <c r="D76" s="2" t="str">
        <f>"04607033644933"</f>
        <v>04607033644933</v>
      </c>
      <c r="E76" s="2" t="str">
        <f t="shared" si="27"/>
        <v>Сладости и кондитерские_x000D_ 
изделия (44)</v>
      </c>
      <c r="F76" s="2" t="str">
        <f t="shared" si="31"/>
        <v>1704907100</v>
      </c>
      <c r="G76" s="2"/>
      <c r="H76" s="2" t="str">
        <f t="shared" si="29"/>
        <v>ООО «МАЛВИКЪ»</v>
      </c>
      <c r="I76" s="2" t="str">
        <f t="shared" si="24"/>
        <v>ООО «МАЛВИКЪ»</v>
      </c>
      <c r="J76" s="2">
        <v>0</v>
      </c>
      <c r="K76" s="2"/>
      <c r="L76" s="2"/>
      <c r="M76" s="2"/>
      <c r="N76" s="2"/>
      <c r="O76" s="2"/>
      <c r="P76" s="2"/>
      <c r="Q76" s="2"/>
      <c r="R76" s="2"/>
      <c r="S76" s="2" t="str">
        <f t="shared" si="30"/>
        <v>Декларация о соответствии</v>
      </c>
      <c r="T76" s="2" t="str">
        <f>"ЕАЭС N RU Д-RU.РА04.В.50071/23"</f>
        <v>ЕАЭС N RU Д-RU.РА04.В.50071/23</v>
      </c>
      <c r="U76" s="2" t="s">
        <v>42</v>
      </c>
      <c r="V76" s="2" t="str">
        <f t="shared" si="23"/>
        <v>Коробка (UNIT)</v>
      </c>
      <c r="W76" s="2"/>
      <c r="X76" s="2">
        <v>6000</v>
      </c>
      <c r="Y76" s="2" t="str">
        <f t="shared" si="28"/>
        <v>Novexx_Box_Long_80x100.for</v>
      </c>
    </row>
    <row r="77" spans="1:25" x14ac:dyDescent="0.25">
      <c r="A77" s="2" t="s">
        <v>100</v>
      </c>
      <c r="B77" s="2" t="str">
        <f>"Карамель леденцовая «SWEET RINGS» СOOL"</f>
        <v>Карамель леденцовая «SWEET RINGS» СOOL</v>
      </c>
      <c r="C77" s="2" t="str">
        <f t="shared" si="32"/>
        <v>ТМ МАЛВИКЪ</v>
      </c>
      <c r="D77" s="2" t="str">
        <f>"04607033644940"</f>
        <v>04607033644940</v>
      </c>
      <c r="E77" s="2" t="str">
        <f t="shared" si="27"/>
        <v>Сладости и кондитерские_x000D_ 
изделия (44)</v>
      </c>
      <c r="F77" s="2" t="str">
        <f t="shared" si="31"/>
        <v>1704907100</v>
      </c>
      <c r="G77" s="2"/>
      <c r="H77" s="2" t="str">
        <f t="shared" si="29"/>
        <v>ООО «МАЛВИКЪ»</v>
      </c>
      <c r="I77" s="2" t="str">
        <f t="shared" si="24"/>
        <v>ООО «МАЛВИКЪ»</v>
      </c>
      <c r="J77" s="2">
        <v>0</v>
      </c>
      <c r="K77" s="2"/>
      <c r="L77" s="2"/>
      <c r="M77" s="2"/>
      <c r="N77" s="2"/>
      <c r="O77" s="2"/>
      <c r="P77" s="2"/>
      <c r="Q77" s="2"/>
      <c r="R77" s="2"/>
      <c r="S77" s="2" t="str">
        <f t="shared" si="30"/>
        <v>Декларация о соответствии</v>
      </c>
      <c r="T77" s="2" t="str">
        <f>"ЕАЭС N RU Д-RU.РА04.В.50071/23"</f>
        <v>ЕАЭС N RU Д-RU.РА04.В.50071/23</v>
      </c>
      <c r="U77" s="2" t="s">
        <v>42</v>
      </c>
      <c r="V77" s="2" t="str">
        <f t="shared" si="23"/>
        <v>Коробка (UNIT)</v>
      </c>
      <c r="W77" s="2"/>
      <c r="X77" s="2">
        <v>1000</v>
      </c>
      <c r="Y77" s="2" t="str">
        <f t="shared" si="28"/>
        <v>Novexx_Box_Long_80x100.for</v>
      </c>
    </row>
    <row r="78" spans="1:25" x14ac:dyDescent="0.25">
      <c r="A78" s="2" t="str">
        <f>"Карамель леденцовая «Акварельки» (04607033640690)"</f>
        <v>Карамель леденцовая «Акварельки» (04607033640690)</v>
      </c>
      <c r="B78" s="2" t="str">
        <f>"Карамель леденцовая «Акварельки»"</f>
        <v>Карамель леденцовая «Акварельки»</v>
      </c>
      <c r="C78" s="2" t="str">
        <f t="shared" si="32"/>
        <v>ТМ МАЛВИКЪ</v>
      </c>
      <c r="D78" s="2" t="str">
        <f>"04607033640690"</f>
        <v>04607033640690</v>
      </c>
      <c r="E78" s="2" t="str">
        <f t="shared" si="27"/>
        <v>Сладости и кондитерские_x000D_ 
изделия (44)</v>
      </c>
      <c r="F78" s="2" t="str">
        <f t="shared" si="31"/>
        <v>1704907100</v>
      </c>
      <c r="G78" s="2"/>
      <c r="H78" s="2" t="str">
        <f t="shared" si="29"/>
        <v>ООО «МАЛВИКЪ»</v>
      </c>
      <c r="I78" s="2" t="str">
        <f t="shared" si="24"/>
        <v>ООО «МАЛВИКЪ»</v>
      </c>
      <c r="J78" s="2">
        <v>0</v>
      </c>
      <c r="K78" s="2"/>
      <c r="L78" s="2"/>
      <c r="M78" s="2"/>
      <c r="N78" s="2"/>
      <c r="O78" s="2"/>
      <c r="P78" s="2"/>
      <c r="Q78" s="2"/>
      <c r="R78" s="2"/>
      <c r="S78" s="2" t="str">
        <f t="shared" si="30"/>
        <v>Декларация о соответствии</v>
      </c>
      <c r="T78" s="2" t="str">
        <f t="shared" ref="T78:T94" si="33">"ЕАЭС N RU Д-RU.РА01.В.67464/24"</f>
        <v>ЕАЭС N RU Д-RU.РА01.В.67464/24</v>
      </c>
      <c r="U78" s="2" t="s">
        <v>29</v>
      </c>
      <c r="V78" s="2" t="str">
        <f t="shared" si="23"/>
        <v>Коробка (UNIT)</v>
      </c>
      <c r="W78" s="2"/>
      <c r="X78" s="2">
        <v>250</v>
      </c>
      <c r="Y78" s="2" t="str">
        <f t="shared" si="28"/>
        <v>Novexx_Box_Long_80x100.for</v>
      </c>
    </row>
    <row r="79" spans="1:25" x14ac:dyDescent="0.25">
      <c r="A79" s="2" t="str">
        <f>"Карамель леденцовая «Акварельки» (04607033643158)"</f>
        <v>Карамель леденцовая «Акварельки» (04607033643158)</v>
      </c>
      <c r="B79" s="2" t="str">
        <f>"Карамель леденцовая «Акварельки»"</f>
        <v>Карамель леденцовая «Акварельки»</v>
      </c>
      <c r="C79" s="2" t="str">
        <f t="shared" si="32"/>
        <v>ТМ МАЛВИКЪ</v>
      </c>
      <c r="D79" s="2" t="str">
        <f>"04607033643158"</f>
        <v>04607033643158</v>
      </c>
      <c r="E79" s="2" t="str">
        <f t="shared" si="27"/>
        <v>Сладости и кондитерские_x000D_ 
изделия (44)</v>
      </c>
      <c r="F79" s="2" t="str">
        <f t="shared" si="31"/>
        <v>1704907100</v>
      </c>
      <c r="G79" s="2"/>
      <c r="H79" s="2" t="str">
        <f t="shared" si="29"/>
        <v>ООО «МАЛВИКЪ»</v>
      </c>
      <c r="I79" s="2" t="str">
        <f t="shared" si="24"/>
        <v>ООО «МАЛВИКЪ»</v>
      </c>
      <c r="J79" s="2">
        <v>0</v>
      </c>
      <c r="K79" s="2"/>
      <c r="L79" s="2"/>
      <c r="M79" s="2"/>
      <c r="N79" s="2"/>
      <c r="O79" s="2"/>
      <c r="P79" s="2"/>
      <c r="Q79" s="2"/>
      <c r="R79" s="2"/>
      <c r="S79" s="2" t="str">
        <f t="shared" si="30"/>
        <v>Декларация о соответствии</v>
      </c>
      <c r="T79" s="2" t="str">
        <f t="shared" si="33"/>
        <v>ЕАЭС N RU Д-RU.РА01.В.67464/24</v>
      </c>
      <c r="U79" s="2" t="s">
        <v>29</v>
      </c>
      <c r="V79" s="2" t="str">
        <f t="shared" si="23"/>
        <v>Коробка (UNIT)</v>
      </c>
      <c r="W79" s="2"/>
      <c r="X79" s="2">
        <v>1000</v>
      </c>
      <c r="Y79" s="2" t="str">
        <f t="shared" si="28"/>
        <v>Novexx_Box_Long_80x100.for</v>
      </c>
    </row>
    <row r="80" spans="1:25" x14ac:dyDescent="0.25">
      <c r="A80" s="2" t="str">
        <f>"Карамель леденцовая «Акварельки» (04607033643370)"</f>
        <v>Карамель леденцовая «Акварельки» (04607033643370)</v>
      </c>
      <c r="B80" s="2" t="str">
        <f>"Карамель леденцовая «Акварельки»"</f>
        <v>Карамель леденцовая «Акварельки»</v>
      </c>
      <c r="C80" s="2" t="str">
        <f t="shared" si="32"/>
        <v>ТМ МАЛВИКЪ</v>
      </c>
      <c r="D80" s="2" t="str">
        <f>"04607033643370"</f>
        <v>04607033643370</v>
      </c>
      <c r="E80" s="2" t="str">
        <f t="shared" si="27"/>
        <v>Сладости и кондитерские_x000D_ 
изделия (44)</v>
      </c>
      <c r="F80" s="2" t="str">
        <f t="shared" si="31"/>
        <v>1704907100</v>
      </c>
      <c r="G80" s="2"/>
      <c r="H80" s="2" t="str">
        <f t="shared" si="29"/>
        <v>ООО «МАЛВИКЪ»</v>
      </c>
      <c r="I80" s="2" t="str">
        <f t="shared" si="24"/>
        <v>ООО «МАЛВИКЪ»</v>
      </c>
      <c r="J80" s="2">
        <v>0</v>
      </c>
      <c r="K80" s="2"/>
      <c r="L80" s="2"/>
      <c r="M80" s="2"/>
      <c r="N80" s="2"/>
      <c r="O80" s="2"/>
      <c r="P80" s="2"/>
      <c r="Q80" s="2"/>
      <c r="R80" s="2"/>
      <c r="S80" s="2" t="str">
        <f t="shared" si="30"/>
        <v>Декларация о соответствии</v>
      </c>
      <c r="T80" s="2" t="str">
        <f t="shared" si="33"/>
        <v>ЕАЭС N RU Д-RU.РА01.В.67464/24</v>
      </c>
      <c r="U80" s="2" t="s">
        <v>29</v>
      </c>
      <c r="V80" s="2" t="str">
        <f t="shared" si="23"/>
        <v>Коробка (UNIT)</v>
      </c>
      <c r="W80" s="2"/>
      <c r="X80" s="2">
        <v>500</v>
      </c>
      <c r="Y80" s="2" t="str">
        <f t="shared" si="28"/>
        <v>Novexx_Box_Long_80x100.for</v>
      </c>
    </row>
    <row r="81" spans="1:25" x14ac:dyDescent="0.25">
      <c r="A81" s="2" t="str">
        <f>"Карамель леденцовая «Акварельки» (04607033644872)"</f>
        <v>Карамель леденцовая «Акварельки» (04607033644872)</v>
      </c>
      <c r="B81" s="2" t="str">
        <f>"Карамель леденцовая «Акварельки»"</f>
        <v>Карамель леденцовая «Акварельки»</v>
      </c>
      <c r="C81" s="2" t="str">
        <f t="shared" si="32"/>
        <v>ТМ МАЛВИКЪ</v>
      </c>
      <c r="D81" s="2" t="str">
        <f>"04607033644872"</f>
        <v>04607033644872</v>
      </c>
      <c r="E81" s="2" t="str">
        <f t="shared" si="27"/>
        <v>Сладости и кондитерские_x000D_ 
изделия (44)</v>
      </c>
      <c r="F81" s="2" t="str">
        <f t="shared" si="31"/>
        <v>1704907100</v>
      </c>
      <c r="G81" s="2"/>
      <c r="H81" s="2" t="str">
        <f t="shared" si="29"/>
        <v>ООО «МАЛВИКЪ»</v>
      </c>
      <c r="I81" s="2" t="str">
        <f t="shared" si="24"/>
        <v>ООО «МАЛВИКЪ»</v>
      </c>
      <c r="J81" s="2">
        <v>0</v>
      </c>
      <c r="K81" s="2"/>
      <c r="L81" s="2"/>
      <c r="M81" s="2"/>
      <c r="N81" s="2"/>
      <c r="O81" s="2"/>
      <c r="P81" s="2"/>
      <c r="Q81" s="2"/>
      <c r="R81" s="2"/>
      <c r="S81" s="2" t="str">
        <f t="shared" si="30"/>
        <v>Декларация о соответствии</v>
      </c>
      <c r="T81" s="2" t="str">
        <f t="shared" si="33"/>
        <v>ЕАЭС N RU Д-RU.РА01.В.67464/24</v>
      </c>
      <c r="U81" s="2" t="s">
        <v>29</v>
      </c>
      <c r="V81" s="2" t="str">
        <f t="shared" si="23"/>
        <v>Коробка (UNIT)</v>
      </c>
      <c r="W81" s="2"/>
      <c r="X81" s="2">
        <v>280</v>
      </c>
      <c r="Y81" s="2" t="str">
        <f t="shared" si="28"/>
        <v>Novexx_Box_Long_80x100.for</v>
      </c>
    </row>
    <row r="82" spans="1:25" x14ac:dyDescent="0.25">
      <c r="A82" s="2" t="str">
        <f>"Карамель леденцовая «Акварельки». (04607033644124)"</f>
        <v>Карамель леденцовая «Акварельки». (04607033644124)</v>
      </c>
      <c r="B82" s="2" t="str">
        <f>"Карамель леденцовая «Акварельки»."</f>
        <v>Карамель леденцовая «Акварельки».</v>
      </c>
      <c r="C82" s="2" t="str">
        <f t="shared" si="32"/>
        <v>ТМ МАЛВИКЪ</v>
      </c>
      <c r="D82" s="2" t="str">
        <f>"04607033644124"</f>
        <v>04607033644124</v>
      </c>
      <c r="E82" s="2" t="str">
        <f t="shared" si="27"/>
        <v>Сладости и кондитерские_x000D_ 
изделия (44)</v>
      </c>
      <c r="F82" s="2" t="str">
        <f t="shared" si="31"/>
        <v>1704907100</v>
      </c>
      <c r="G82" s="2"/>
      <c r="H82" s="2" t="str">
        <f t="shared" si="29"/>
        <v>ООО «МАЛВИКЪ»</v>
      </c>
      <c r="I82" s="2" t="str">
        <f t="shared" si="24"/>
        <v>ООО «МАЛВИКЪ»</v>
      </c>
      <c r="J82" s="2">
        <v>0</v>
      </c>
      <c r="K82" s="2"/>
      <c r="L82" s="2"/>
      <c r="M82" s="2"/>
      <c r="N82" s="2"/>
      <c r="O82" s="2"/>
      <c r="P82" s="2"/>
      <c r="Q82" s="2"/>
      <c r="R82" s="2"/>
      <c r="S82" s="2" t="str">
        <f t="shared" si="30"/>
        <v>Декларация о соответствии</v>
      </c>
      <c r="T82" s="2" t="str">
        <f t="shared" si="33"/>
        <v>ЕАЭС N RU Д-RU.РА01.В.67464/24</v>
      </c>
      <c r="U82" s="2" t="s">
        <v>29</v>
      </c>
      <c r="V82" s="2" t="str">
        <f t="shared" si="23"/>
        <v>Коробка (UNIT)</v>
      </c>
      <c r="W82" s="2"/>
      <c r="X82" s="2">
        <v>6000</v>
      </c>
      <c r="Y82" s="2" t="str">
        <f t="shared" si="28"/>
        <v>Novexx_Box_Long_80x100.for</v>
      </c>
    </row>
    <row r="83" spans="1:25" x14ac:dyDescent="0.25">
      <c r="A83" s="2" t="str">
        <f>"Карамель леденцовая «АМ-МИ» MIX (04607033641468)"</f>
        <v>Карамель леденцовая «АМ-МИ» MIX (04607033641468)</v>
      </c>
      <c r="B83" s="2" t="str">
        <f>"Карамель леденцовая «АМ-МИ» MIX"</f>
        <v>Карамель леденцовая «АМ-МИ» MIX</v>
      </c>
      <c r="C83" s="2" t="str">
        <f t="shared" si="32"/>
        <v>ТМ МАЛВИКЪ</v>
      </c>
      <c r="D83" s="2" t="str">
        <f>"04607033641468"</f>
        <v>04607033641468</v>
      </c>
      <c r="E83" s="2" t="str">
        <f t="shared" si="27"/>
        <v>Сладости и кондитерские_x000D_ 
изделия (44)</v>
      </c>
      <c r="F83" s="2" t="str">
        <f t="shared" si="31"/>
        <v>1704907100</v>
      </c>
      <c r="G83" s="2"/>
      <c r="H83" s="2" t="str">
        <f t="shared" si="29"/>
        <v>ООО «МАЛВИКЪ»</v>
      </c>
      <c r="I83" s="2" t="str">
        <f t="shared" si="24"/>
        <v>ООО «МАЛВИКЪ»</v>
      </c>
      <c r="J83" s="2">
        <v>0</v>
      </c>
      <c r="K83" s="2"/>
      <c r="L83" s="2"/>
      <c r="M83" s="2"/>
      <c r="N83" s="2"/>
      <c r="O83" s="2"/>
      <c r="P83" s="2"/>
      <c r="Q83" s="2"/>
      <c r="R83" s="2"/>
      <c r="S83" s="2" t="str">
        <f t="shared" si="30"/>
        <v>Декларация о соответствии</v>
      </c>
      <c r="T83" s="2" t="str">
        <f t="shared" si="33"/>
        <v>ЕАЭС N RU Д-RU.РА01.В.67464/24</v>
      </c>
      <c r="U83" s="2" t="s">
        <v>29</v>
      </c>
      <c r="V83" s="2" t="str">
        <f t="shared" si="23"/>
        <v>Коробка (UNIT)</v>
      </c>
      <c r="W83" s="2"/>
      <c r="X83" s="2">
        <v>180</v>
      </c>
      <c r="Y83" s="2" t="str">
        <f t="shared" si="28"/>
        <v>Novexx_Box_Long_80x100.for</v>
      </c>
    </row>
    <row r="84" spans="1:25" x14ac:dyDescent="0.25">
      <c r="A84" s="2" t="str">
        <f>"Карамель леденцовая «АМ-МИ» MIX (04607033643172)"</f>
        <v>Карамель леденцовая «АМ-МИ» MIX (04607033643172)</v>
      </c>
      <c r="B84" s="2" t="str">
        <f>"Карамель леденцовая «АМ-МИ» MIX"</f>
        <v>Карамель леденцовая «АМ-МИ» MIX</v>
      </c>
      <c r="C84" s="2" t="str">
        <f t="shared" si="32"/>
        <v>ТМ МАЛВИКЪ</v>
      </c>
      <c r="D84" s="2" t="str">
        <f>"04607033643172"</f>
        <v>04607033643172</v>
      </c>
      <c r="E84" s="2" t="str">
        <f t="shared" si="27"/>
        <v>Сладости и кондитерские_x000D_ 
изделия (44)</v>
      </c>
      <c r="F84" s="2" t="str">
        <f t="shared" si="31"/>
        <v>1704907100</v>
      </c>
      <c r="G84" s="2"/>
      <c r="H84" s="2" t="str">
        <f t="shared" si="29"/>
        <v>ООО «МАЛВИКЪ»</v>
      </c>
      <c r="I84" s="2" t="str">
        <f t="shared" si="24"/>
        <v>ООО «МАЛВИКЪ»</v>
      </c>
      <c r="J84" s="2">
        <v>0</v>
      </c>
      <c r="K84" s="2"/>
      <c r="L84" s="2"/>
      <c r="M84" s="2"/>
      <c r="N84" s="2"/>
      <c r="O84" s="2"/>
      <c r="P84" s="2"/>
      <c r="Q84" s="2"/>
      <c r="R84" s="2"/>
      <c r="S84" s="2" t="str">
        <f t="shared" si="30"/>
        <v>Декларация о соответствии</v>
      </c>
      <c r="T84" s="2" t="str">
        <f t="shared" si="33"/>
        <v>ЕАЭС N RU Д-RU.РА01.В.67464/24</v>
      </c>
      <c r="U84" s="2" t="s">
        <v>29</v>
      </c>
      <c r="V84" s="2" t="str">
        <f t="shared" si="23"/>
        <v>Коробка (UNIT)</v>
      </c>
      <c r="W84" s="2"/>
      <c r="X84" s="2">
        <v>1000</v>
      </c>
      <c r="Y84" s="2" t="str">
        <f t="shared" si="28"/>
        <v>Novexx_Box_Long_80x100.for</v>
      </c>
    </row>
    <row r="85" spans="1:25" x14ac:dyDescent="0.25">
      <c r="A85" s="2" t="str">
        <f>"Карамель леденцовая «АМ-МИ» MIX (04607033644131)"</f>
        <v>Карамель леденцовая «АМ-МИ» MIX (04607033644131)</v>
      </c>
      <c r="B85" s="2" t="str">
        <f>"Карамель леденцовая «АМ-МИ» MIX"</f>
        <v>Карамель леденцовая «АМ-МИ» MIX</v>
      </c>
      <c r="C85" s="2" t="str">
        <f t="shared" si="32"/>
        <v>ТМ МАЛВИКЪ</v>
      </c>
      <c r="D85" s="2" t="str">
        <f>"04607033644131"</f>
        <v>04607033644131</v>
      </c>
      <c r="E85" s="2" t="str">
        <f t="shared" si="27"/>
        <v>Сладости и кондитерские_x000D_ 
изделия (44)</v>
      </c>
      <c r="F85" s="2" t="str">
        <f t="shared" si="31"/>
        <v>1704907100</v>
      </c>
      <c r="G85" s="2"/>
      <c r="H85" s="2" t="str">
        <f t="shared" si="29"/>
        <v>ООО «МАЛВИКЪ»</v>
      </c>
      <c r="I85" s="2" t="str">
        <f t="shared" si="24"/>
        <v>ООО «МАЛВИКЪ»</v>
      </c>
      <c r="J85" s="2">
        <v>0</v>
      </c>
      <c r="K85" s="2"/>
      <c r="L85" s="2"/>
      <c r="M85" s="2"/>
      <c r="N85" s="2"/>
      <c r="O85" s="2"/>
      <c r="P85" s="2"/>
      <c r="Q85" s="2"/>
      <c r="R85" s="2"/>
      <c r="S85" s="2" t="str">
        <f t="shared" si="30"/>
        <v>Декларация о соответствии</v>
      </c>
      <c r="T85" s="2" t="str">
        <f t="shared" si="33"/>
        <v>ЕАЭС N RU Д-RU.РА01.В.67464/24</v>
      </c>
      <c r="U85" s="2" t="s">
        <v>29</v>
      </c>
      <c r="V85" s="2" t="str">
        <f t="shared" si="23"/>
        <v>Коробка (UNIT)</v>
      </c>
      <c r="W85" s="2"/>
      <c r="X85" s="2">
        <v>6000</v>
      </c>
      <c r="Y85" s="2" t="str">
        <f t="shared" si="28"/>
        <v>Novexx_Box_Long_80x100.for</v>
      </c>
    </row>
    <row r="86" spans="1:25" x14ac:dyDescent="0.25">
      <c r="A86" s="2" t="s">
        <v>101</v>
      </c>
      <c r="B86" s="2" t="str">
        <f>"Карамель леденцовая «АМ-МИ» фруктовое ассорти"</f>
        <v>Карамель леденцовая «АМ-МИ» фруктовое ассорти</v>
      </c>
      <c r="C86" s="2" t="str">
        <f t="shared" si="32"/>
        <v>ТМ МАЛВИКЪ</v>
      </c>
      <c r="D86" s="2" t="str">
        <f>"04607033644001"</f>
        <v>04607033644001</v>
      </c>
      <c r="E86" s="2" t="str">
        <f t="shared" si="27"/>
        <v>Сладости и кондитерские_x000D_ 
изделия (44)</v>
      </c>
      <c r="F86" s="2" t="str">
        <f t="shared" si="31"/>
        <v>1704907100</v>
      </c>
      <c r="G86" s="2"/>
      <c r="H86" s="2" t="str">
        <f t="shared" si="29"/>
        <v>ООО «МАЛВИКЪ»</v>
      </c>
      <c r="I86" s="2" t="str">
        <f t="shared" si="24"/>
        <v>ООО «МАЛВИКЪ»</v>
      </c>
      <c r="J86" s="2">
        <v>0</v>
      </c>
      <c r="K86" s="2"/>
      <c r="L86" s="2"/>
      <c r="M86" s="2"/>
      <c r="N86" s="2"/>
      <c r="O86" s="2"/>
      <c r="P86" s="2"/>
      <c r="Q86" s="2"/>
      <c r="R86" s="2"/>
      <c r="S86" s="2" t="str">
        <f t="shared" si="30"/>
        <v>Декларация о соответствии</v>
      </c>
      <c r="T86" s="2" t="str">
        <f t="shared" si="33"/>
        <v>ЕАЭС N RU Д-RU.РА01.В.67464/24</v>
      </c>
      <c r="U86" s="2" t="s">
        <v>29</v>
      </c>
      <c r="V86" s="2" t="str">
        <f t="shared" si="23"/>
        <v>Коробка (UNIT)</v>
      </c>
      <c r="W86" s="2"/>
      <c r="X86" s="2">
        <v>500</v>
      </c>
      <c r="Y86" s="2" t="str">
        <f t="shared" si="28"/>
        <v>Novexx_Box_Long_80x100.for</v>
      </c>
    </row>
    <row r="87" spans="1:25" x14ac:dyDescent="0.25">
      <c r="A87" s="2" t="s">
        <v>102</v>
      </c>
      <c r="B87" s="2" t="str">
        <f>"Карамель леденцовая «АМ-МИ» фруктовое ассорти"</f>
        <v>Карамель леденцовая «АМ-МИ» фруктовое ассорти</v>
      </c>
      <c r="C87" s="2" t="str">
        <f t="shared" si="32"/>
        <v>ТМ МАЛВИКЪ</v>
      </c>
      <c r="D87" s="2" t="str">
        <f>"04607033644148"</f>
        <v>04607033644148</v>
      </c>
      <c r="E87" s="2" t="str">
        <f t="shared" si="27"/>
        <v>Сладости и кондитерские_x000D_ 
изделия (44)</v>
      </c>
      <c r="F87" s="2" t="str">
        <f t="shared" si="31"/>
        <v>1704907100</v>
      </c>
      <c r="G87" s="2"/>
      <c r="H87" s="2" t="str">
        <f t="shared" si="29"/>
        <v>ООО «МАЛВИКЪ»</v>
      </c>
      <c r="I87" s="2" t="str">
        <f t="shared" si="24"/>
        <v>ООО «МАЛВИКЪ»</v>
      </c>
      <c r="J87" s="2">
        <v>0</v>
      </c>
      <c r="K87" s="2"/>
      <c r="L87" s="2"/>
      <c r="M87" s="2"/>
      <c r="N87" s="2"/>
      <c r="O87" s="2"/>
      <c r="P87" s="2"/>
      <c r="Q87" s="2"/>
      <c r="R87" s="2"/>
      <c r="S87" s="2" t="str">
        <f t="shared" si="30"/>
        <v>Декларация о соответствии</v>
      </c>
      <c r="T87" s="2" t="str">
        <f t="shared" si="33"/>
        <v>ЕАЭС N RU Д-RU.РА01.В.67464/24</v>
      </c>
      <c r="U87" s="2" t="s">
        <v>29</v>
      </c>
      <c r="V87" s="2" t="str">
        <f t="shared" si="23"/>
        <v>Коробка (UNIT)</v>
      </c>
      <c r="W87" s="2"/>
      <c r="X87" s="2">
        <v>6000</v>
      </c>
      <c r="Y87" s="2" t="str">
        <f t="shared" si="28"/>
        <v>Novexx_Box_Long_80x100.for</v>
      </c>
    </row>
    <row r="88" spans="1:25" x14ac:dyDescent="0.25">
      <c r="A88" s="2" t="s">
        <v>103</v>
      </c>
      <c r="B88" s="2" t="str">
        <f>"Карамель леденцовая «АМ-МИ» ЦИТРУСОВОЕ АССОРТИ"</f>
        <v>Карамель леденцовая «АМ-МИ» ЦИТРУСОВОЕ АССОРТИ</v>
      </c>
      <c r="C88" s="2" t="str">
        <f t="shared" si="32"/>
        <v>ТМ МАЛВИКЪ</v>
      </c>
      <c r="D88" s="2" t="str">
        <f>"04607033645138"</f>
        <v>04607033645138</v>
      </c>
      <c r="E88" s="2" t="str">
        <f t="shared" si="27"/>
        <v>Сладости и кондитерские_x000D_ 
изделия (44)</v>
      </c>
      <c r="F88" s="2" t="str">
        <f t="shared" si="31"/>
        <v>1704907100</v>
      </c>
      <c r="G88" s="2"/>
      <c r="H88" s="2" t="str">
        <f t="shared" si="29"/>
        <v>ООО «МАЛВИКЪ»</v>
      </c>
      <c r="I88" s="2" t="str">
        <f t="shared" si="24"/>
        <v>ООО «МАЛВИКЪ»</v>
      </c>
      <c r="J88" s="2">
        <v>0</v>
      </c>
      <c r="K88" s="2"/>
      <c r="L88" s="2"/>
      <c r="M88" s="2"/>
      <c r="N88" s="2"/>
      <c r="O88" s="2"/>
      <c r="P88" s="2"/>
      <c r="Q88" s="2"/>
      <c r="R88" s="2"/>
      <c r="S88" s="2" t="str">
        <f t="shared" si="30"/>
        <v>Декларация о соответствии</v>
      </c>
      <c r="T88" s="2" t="str">
        <f t="shared" si="33"/>
        <v>ЕАЭС N RU Д-RU.РА01.В.67464/24</v>
      </c>
      <c r="U88" s="2" t="s">
        <v>29</v>
      </c>
      <c r="V88" s="2" t="str">
        <f t="shared" ref="V88:V106" si="34">"Коробка (UNIT)"</f>
        <v>Коробка (UNIT)</v>
      </c>
      <c r="W88" s="2"/>
      <c r="X88" s="2">
        <v>1000</v>
      </c>
      <c r="Y88" s="2" t="str">
        <f t="shared" si="28"/>
        <v>Novexx_Box_Long_80x100.for</v>
      </c>
    </row>
    <row r="89" spans="1:25" x14ac:dyDescent="0.25">
      <c r="A89" s="2" t="s">
        <v>104</v>
      </c>
      <c r="B89" s="2" t="str">
        <f>"Карамель леденцовая «АМ-МИ» ЦИТРУСОВОЕ АССОРТИ"</f>
        <v>Карамель леденцовая «АМ-МИ» ЦИТРУСОВОЕ АССОРТИ</v>
      </c>
      <c r="C89" s="2" t="str">
        <f t="shared" si="32"/>
        <v>ТМ МАЛВИКЪ</v>
      </c>
      <c r="D89" s="2" t="str">
        <f>"04607033645152"</f>
        <v>04607033645152</v>
      </c>
      <c r="E89" s="2" t="str">
        <f t="shared" si="27"/>
        <v>Сладости и кондитерские_x000D_ 
изделия (44)</v>
      </c>
      <c r="F89" s="2" t="str">
        <f t="shared" si="31"/>
        <v>1704907100</v>
      </c>
      <c r="G89" s="2"/>
      <c r="H89" s="2" t="str">
        <f t="shared" si="29"/>
        <v>ООО «МАЛВИКЪ»</v>
      </c>
      <c r="I89" s="2" t="str">
        <f t="shared" si="24"/>
        <v>ООО «МАЛВИКЪ»</v>
      </c>
      <c r="J89" s="2">
        <v>0</v>
      </c>
      <c r="K89" s="2"/>
      <c r="L89" s="2"/>
      <c r="M89" s="2"/>
      <c r="N89" s="2"/>
      <c r="O89" s="2"/>
      <c r="P89" s="2"/>
      <c r="Q89" s="2"/>
      <c r="R89" s="2"/>
      <c r="S89" s="2" t="str">
        <f t="shared" si="30"/>
        <v>Декларация о соответствии</v>
      </c>
      <c r="T89" s="2" t="str">
        <f t="shared" si="33"/>
        <v>ЕАЭС N RU Д-RU.РА01.В.67464/24</v>
      </c>
      <c r="U89" s="2" t="s">
        <v>29</v>
      </c>
      <c r="V89" s="2" t="str">
        <f t="shared" si="34"/>
        <v>Коробка (UNIT)</v>
      </c>
      <c r="W89" s="2"/>
      <c r="X89" s="2">
        <v>6000</v>
      </c>
      <c r="Y89" s="2" t="str">
        <f t="shared" si="28"/>
        <v>Novexx_Box_Long_80x100.for</v>
      </c>
    </row>
    <row r="90" spans="1:25" x14ac:dyDescent="0.25">
      <c r="A90" s="2" t="s">
        <v>105</v>
      </c>
      <c r="B90" s="2" t="str">
        <f>"Карамель леденцовая «АМ-МИ» ЦИТРУСОВОЕ АССОРТИ"</f>
        <v>Карамель леденцовая «АМ-МИ» ЦИТРУСОВОЕ АССОРТИ</v>
      </c>
      <c r="C90" s="2" t="str">
        <f t="shared" si="32"/>
        <v>ТМ МАЛВИКЪ</v>
      </c>
      <c r="D90" s="2" t="str">
        <f>"04607033645206"</f>
        <v>04607033645206</v>
      </c>
      <c r="E90" s="2" t="str">
        <f t="shared" si="27"/>
        <v>Сладости и кондитерские_x000D_ 
изделия (44)</v>
      </c>
      <c r="F90" s="2" t="str">
        <f t="shared" si="31"/>
        <v>1704907100</v>
      </c>
      <c r="G90" s="2"/>
      <c r="H90" s="2" t="str">
        <f t="shared" si="29"/>
        <v>ООО «МАЛВИКЪ»</v>
      </c>
      <c r="I90" s="2" t="str">
        <f t="shared" ref="I90:I106" si="35">"ООО «МАЛВИКЪ»"</f>
        <v>ООО «МАЛВИКЪ»</v>
      </c>
      <c r="J90" s="2">
        <v>0</v>
      </c>
      <c r="K90" s="2"/>
      <c r="L90" s="2"/>
      <c r="M90" s="2"/>
      <c r="N90" s="2"/>
      <c r="O90" s="2"/>
      <c r="P90" s="2"/>
      <c r="Q90" s="2"/>
      <c r="R90" s="2"/>
      <c r="S90" s="2" t="str">
        <f t="shared" si="30"/>
        <v>Декларация о соответствии</v>
      </c>
      <c r="T90" s="2" t="str">
        <f t="shared" si="33"/>
        <v>ЕАЭС N RU Д-RU.РА01.В.67464/24</v>
      </c>
      <c r="U90" s="2" t="s">
        <v>29</v>
      </c>
      <c r="V90" s="2" t="str">
        <f t="shared" si="34"/>
        <v>Коробка (UNIT)</v>
      </c>
      <c r="W90" s="2"/>
      <c r="X90" s="2">
        <v>500</v>
      </c>
      <c r="Y90" s="2" t="str">
        <f t="shared" si="28"/>
        <v>Novexx_Box_Long_80x100.for</v>
      </c>
    </row>
    <row r="91" spans="1:25" x14ac:dyDescent="0.25">
      <c r="A91" s="2" t="s">
        <v>106</v>
      </c>
      <c r="B91" s="2" t="str">
        <f>"Карамель леденцовая «АМ-МИ» ЯГОДНОЕ АССОРТИ"</f>
        <v>Карамель леденцовая «АМ-МИ» ЯГОДНОЕ АССОРТИ</v>
      </c>
      <c r="C91" s="2" t="str">
        <f t="shared" si="32"/>
        <v>ТМ МАЛВИКЪ</v>
      </c>
      <c r="D91" s="2" t="str">
        <f>"04607033645107"</f>
        <v>04607033645107</v>
      </c>
      <c r="E91" s="2" t="str">
        <f t="shared" si="27"/>
        <v>Сладости и кондитерские_x000D_ 
изделия (44)</v>
      </c>
      <c r="F91" s="2" t="str">
        <f t="shared" si="31"/>
        <v>1704907100</v>
      </c>
      <c r="G91" s="2"/>
      <c r="H91" s="2" t="str">
        <f t="shared" si="29"/>
        <v>ООО «МАЛВИКЪ»</v>
      </c>
      <c r="I91" s="2" t="str">
        <f t="shared" si="35"/>
        <v>ООО «МАЛВИКЪ»</v>
      </c>
      <c r="J91" s="2">
        <v>0</v>
      </c>
      <c r="K91" s="2"/>
      <c r="L91" s="2"/>
      <c r="M91" s="2"/>
      <c r="N91" s="2"/>
      <c r="O91" s="2"/>
      <c r="P91" s="2"/>
      <c r="Q91" s="2"/>
      <c r="R91" s="2"/>
      <c r="S91" s="2" t="str">
        <f t="shared" si="30"/>
        <v>Декларация о соответствии</v>
      </c>
      <c r="T91" s="2" t="str">
        <f t="shared" si="33"/>
        <v>ЕАЭС N RU Д-RU.РА01.В.67464/24</v>
      </c>
      <c r="U91" s="2" t="s">
        <v>29</v>
      </c>
      <c r="V91" s="2" t="str">
        <f t="shared" si="34"/>
        <v>Коробка (UNIT)</v>
      </c>
      <c r="W91" s="2"/>
      <c r="X91" s="2">
        <v>1000</v>
      </c>
      <c r="Y91" s="2" t="str">
        <f t="shared" si="28"/>
        <v>Novexx_Box_Long_80x100.for</v>
      </c>
    </row>
    <row r="92" spans="1:25" x14ac:dyDescent="0.25">
      <c r="A92" s="2" t="s">
        <v>107</v>
      </c>
      <c r="B92" s="2" t="str">
        <f>"Карамель леденцовая «АМ-МИ» ЯГОДНОЕ АССОРТИ"</f>
        <v>Карамель леденцовая «АМ-МИ» ЯГОДНОЕ АССОРТИ</v>
      </c>
      <c r="C92" s="2" t="str">
        <f t="shared" si="32"/>
        <v>ТМ МАЛВИКЪ</v>
      </c>
      <c r="D92" s="2" t="str">
        <f>"04607033645121"</f>
        <v>04607033645121</v>
      </c>
      <c r="E92" s="2" t="str">
        <f t="shared" si="27"/>
        <v>Сладости и кондитерские_x000D_ 
изделия (44)</v>
      </c>
      <c r="F92" s="2" t="str">
        <f t="shared" si="31"/>
        <v>1704907100</v>
      </c>
      <c r="G92" s="2"/>
      <c r="H92" s="2" t="str">
        <f t="shared" si="29"/>
        <v>ООО «МАЛВИКЪ»</v>
      </c>
      <c r="I92" s="2" t="str">
        <f t="shared" si="35"/>
        <v>ООО «МАЛВИКЪ»</v>
      </c>
      <c r="J92" s="2">
        <v>0</v>
      </c>
      <c r="K92" s="2"/>
      <c r="L92" s="2"/>
      <c r="M92" s="2"/>
      <c r="N92" s="2"/>
      <c r="O92" s="2"/>
      <c r="P92" s="2"/>
      <c r="Q92" s="2"/>
      <c r="R92" s="2"/>
      <c r="S92" s="2" t="str">
        <f t="shared" si="30"/>
        <v>Декларация о соответствии</v>
      </c>
      <c r="T92" s="2" t="str">
        <f t="shared" si="33"/>
        <v>ЕАЭС N RU Д-RU.РА01.В.67464/24</v>
      </c>
      <c r="U92" s="2" t="s">
        <v>29</v>
      </c>
      <c r="V92" s="2" t="str">
        <f t="shared" si="34"/>
        <v>Коробка (UNIT)</v>
      </c>
      <c r="W92" s="2"/>
      <c r="X92" s="2">
        <v>6000</v>
      </c>
      <c r="Y92" s="2" t="str">
        <f t="shared" si="28"/>
        <v>Novexx_Box_Long_80x100.for</v>
      </c>
    </row>
    <row r="93" spans="1:25" x14ac:dyDescent="0.25">
      <c r="A93" s="2" t="s">
        <v>108</v>
      </c>
      <c r="B93" s="2" t="str">
        <f>"Карамель леденцовая «АМ-МИ» ЯГОДНОЕ АССОРТИ"</f>
        <v>Карамель леденцовая «АМ-МИ» ЯГОДНОЕ АССОРТИ</v>
      </c>
      <c r="C93" s="2" t="str">
        <f t="shared" si="32"/>
        <v>ТМ МАЛВИКЪ</v>
      </c>
      <c r="D93" s="2" t="str">
        <f>"04607033645169"</f>
        <v>04607033645169</v>
      </c>
      <c r="E93" s="2" t="str">
        <f t="shared" si="27"/>
        <v>Сладости и кондитерские_x000D_ 
изделия (44)</v>
      </c>
      <c r="F93" s="2" t="str">
        <f t="shared" si="31"/>
        <v>1704907100</v>
      </c>
      <c r="G93" s="2"/>
      <c r="H93" s="2" t="str">
        <f t="shared" si="29"/>
        <v>ООО «МАЛВИКЪ»</v>
      </c>
      <c r="I93" s="2" t="str">
        <f t="shared" si="35"/>
        <v>ООО «МАЛВИКЪ»</v>
      </c>
      <c r="J93" s="2">
        <v>0</v>
      </c>
      <c r="K93" s="2"/>
      <c r="L93" s="2"/>
      <c r="M93" s="2"/>
      <c r="N93" s="2"/>
      <c r="O93" s="2"/>
      <c r="P93" s="2"/>
      <c r="Q93" s="2"/>
      <c r="R93" s="2"/>
      <c r="S93" s="2" t="str">
        <f t="shared" si="30"/>
        <v>Декларация о соответствии</v>
      </c>
      <c r="T93" s="2" t="str">
        <f t="shared" si="33"/>
        <v>ЕАЭС N RU Д-RU.РА01.В.67464/24</v>
      </c>
      <c r="U93" s="2" t="s">
        <v>29</v>
      </c>
      <c r="V93" s="2" t="str">
        <f t="shared" si="34"/>
        <v>Коробка (UNIT)</v>
      </c>
      <c r="W93" s="2"/>
      <c r="X93" s="2">
        <v>250</v>
      </c>
      <c r="Y93" s="2" t="str">
        <f t="shared" si="28"/>
        <v>Novexx_Box_Long_80x100.for</v>
      </c>
    </row>
    <row r="94" spans="1:25" x14ac:dyDescent="0.25">
      <c r="A94" s="2" t="s">
        <v>109</v>
      </c>
      <c r="B94" s="2" t="str">
        <f>"Карамель леденцовая «АМ-МИ» ЯГОДНОЕ АССОРТИ"</f>
        <v>Карамель леденцовая «АМ-МИ» ЯГОДНОЕ АССОРТИ</v>
      </c>
      <c r="C94" s="2" t="str">
        <f t="shared" si="32"/>
        <v>ТМ МАЛВИКЪ</v>
      </c>
      <c r="D94" s="2" t="str">
        <f>"04607033645183"</f>
        <v>04607033645183</v>
      </c>
      <c r="E94" s="2" t="str">
        <f t="shared" si="27"/>
        <v>Сладости и кондитерские_x000D_ 
изделия (44)</v>
      </c>
      <c r="F94" s="2" t="str">
        <f t="shared" si="31"/>
        <v>1704907100</v>
      </c>
      <c r="G94" s="2"/>
      <c r="H94" s="2" t="str">
        <f t="shared" ref="H94:H106" si="36">"ООО «МАЛВИКЪ»"</f>
        <v>ООО «МАЛВИКЪ»</v>
      </c>
      <c r="I94" s="2" t="str">
        <f t="shared" si="35"/>
        <v>ООО «МАЛВИКЪ»</v>
      </c>
      <c r="J94" s="2">
        <v>0</v>
      </c>
      <c r="K94" s="2"/>
      <c r="L94" s="2"/>
      <c r="M94" s="2"/>
      <c r="N94" s="2"/>
      <c r="O94" s="2"/>
      <c r="P94" s="2"/>
      <c r="Q94" s="2"/>
      <c r="R94" s="2"/>
      <c r="S94" s="2" t="str">
        <f t="shared" si="30"/>
        <v>Декларация о соответствии</v>
      </c>
      <c r="T94" s="2" t="str">
        <f t="shared" si="33"/>
        <v>ЕАЭС N RU Д-RU.РА01.В.67464/24</v>
      </c>
      <c r="U94" s="2" t="s">
        <v>29</v>
      </c>
      <c r="V94" s="2" t="str">
        <f t="shared" si="34"/>
        <v>Коробка (UNIT)</v>
      </c>
      <c r="W94" s="2"/>
      <c r="X94" s="2">
        <v>500</v>
      </c>
      <c r="Y94" s="2" t="str">
        <f t="shared" si="28"/>
        <v>Novexx_Box_Long_80x100.for</v>
      </c>
    </row>
    <row r="95" spans="1:25" x14ac:dyDescent="0.25">
      <c r="A95" s="2" t="s">
        <v>110</v>
      </c>
      <c r="B95" s="2" t="str">
        <f>"Карамель леденцовая «Мини-Акварельки»"</f>
        <v>Карамель леденцовая «Мини-Акварельки»</v>
      </c>
      <c r="C95" s="2" t="str">
        <f t="shared" si="32"/>
        <v>ТМ МАЛВИКЪ</v>
      </c>
      <c r="D95" s="2" t="str">
        <f>"04607033643394"</f>
        <v>04607033643394</v>
      </c>
      <c r="E95" s="2" t="str">
        <f>"Сладости и кондитерские_x000D_
 изделия (4)"</f>
        <v>Сладости и кондитерские_x000D_
 изделия (4)</v>
      </c>
      <c r="F95" s="2" t="str">
        <f t="shared" si="31"/>
        <v>1704907100</v>
      </c>
      <c r="G95" s="2"/>
      <c r="H95" s="2" t="str">
        <f t="shared" si="36"/>
        <v>ООО «МАЛВИКЪ»</v>
      </c>
      <c r="I95" s="2" t="str">
        <f t="shared" si="35"/>
        <v>ООО «МАЛВИКЪ»</v>
      </c>
      <c r="J95" s="2">
        <v>0</v>
      </c>
      <c r="K95" s="2"/>
      <c r="L95" s="2"/>
      <c r="M95" s="2" t="str">
        <f>"Час"</f>
        <v>Час</v>
      </c>
      <c r="N95" s="2">
        <v>1</v>
      </c>
      <c r="O95" s="2"/>
      <c r="P95" s="2"/>
      <c r="Q95" s="2"/>
      <c r="R95" s="2"/>
      <c r="S95" s="2" t="str">
        <f>"Сертификат соответствия"</f>
        <v>Сертификат соответствия</v>
      </c>
      <c r="T95" s="2"/>
      <c r="U95" s="2"/>
      <c r="V95" s="2" t="str">
        <f t="shared" si="34"/>
        <v>Коробка (UNIT)</v>
      </c>
      <c r="W95" s="2"/>
      <c r="X95" s="2">
        <v>1000</v>
      </c>
      <c r="Y95" s="2" t="str">
        <f>"Savema_БезДаты_32.les"</f>
        <v>Savema_БезДаты_32.les</v>
      </c>
    </row>
    <row r="96" spans="1:25" x14ac:dyDescent="0.25">
      <c r="A96" s="2" t="s">
        <v>111</v>
      </c>
      <c r="B96" s="2" t="str">
        <f>"Карамель леденцовая «Мини-Акварельки»"</f>
        <v>Карамель леденцовая «Мини-Акварельки»</v>
      </c>
      <c r="C96" s="2" t="str">
        <f t="shared" si="32"/>
        <v>ТМ МАЛВИКЪ</v>
      </c>
      <c r="D96" s="2" t="str">
        <f>"04607033644582"</f>
        <v>04607033644582</v>
      </c>
      <c r="E96" s="2" t="str">
        <f>"Сладости и кондитерские_x000D_
 изделия (4)"</f>
        <v>Сладости и кондитерские_x000D_
 изделия (4)</v>
      </c>
      <c r="F96" s="2" t="str">
        <f t="shared" si="31"/>
        <v>1704907100</v>
      </c>
      <c r="G96" s="2"/>
      <c r="H96" s="2" t="str">
        <f t="shared" si="36"/>
        <v>ООО «МАЛВИКЪ»</v>
      </c>
      <c r="I96" s="2" t="str">
        <f t="shared" si="35"/>
        <v>ООО «МАЛВИКЪ»</v>
      </c>
      <c r="J96" s="2">
        <v>0</v>
      </c>
      <c r="K96" s="2"/>
      <c r="L96" s="2"/>
      <c r="M96" s="2" t="str">
        <f>"Месяц"</f>
        <v>Месяц</v>
      </c>
      <c r="N96" s="2">
        <v>12</v>
      </c>
      <c r="O96" s="2"/>
      <c r="P96" s="2"/>
      <c r="Q96" s="2"/>
      <c r="R96" s="2"/>
      <c r="S96" s="2" t="str">
        <f t="shared" ref="S96:S106" si="37">"Декларация о соответствии"</f>
        <v>Декларация о соответствии</v>
      </c>
      <c r="T96" s="2" t="str">
        <f>"ЕАЭС N RU Д-RU.РА01.В.67464/24"</f>
        <v>ЕАЭС N RU Д-RU.РА01.В.67464/24</v>
      </c>
      <c r="U96" s="2" t="s">
        <v>29</v>
      </c>
      <c r="V96" s="2" t="str">
        <f t="shared" si="34"/>
        <v>Коробка (UNIT)</v>
      </c>
      <c r="W96" s="2"/>
      <c r="X96" s="2">
        <v>100</v>
      </c>
      <c r="Y96" s="2" t="str">
        <f>"Novexx_Box_Long_80x100.for"</f>
        <v>Novexx_Box_Long_80x100.for</v>
      </c>
    </row>
    <row r="97" spans="1:25" x14ac:dyDescent="0.25">
      <c r="A97" s="2" t="s">
        <v>112</v>
      </c>
      <c r="B97" s="2" t="s">
        <v>113</v>
      </c>
      <c r="C97" s="2" t="str">
        <f t="shared" ref="C97:C105" si="38">"МАЛВИКЪ diet"</f>
        <v>МАЛВИКЪ diet</v>
      </c>
      <c r="D97" s="2" t="str">
        <f>"04607033641239"</f>
        <v>04607033641239</v>
      </c>
      <c r="E97" s="2" t="str">
        <f>"Сладости и кондитерские_x000D_ 
изделия (44)"</f>
        <v>Сладости и кондитерские_x000D_ 
изделия (44)</v>
      </c>
      <c r="F97" s="2" t="str">
        <f t="shared" si="31"/>
        <v>1704907100</v>
      </c>
      <c r="G97" s="2"/>
      <c r="H97" s="2" t="str">
        <f t="shared" si="36"/>
        <v>ООО «МАЛВИКЪ»</v>
      </c>
      <c r="I97" s="2" t="str">
        <f t="shared" si="35"/>
        <v>ООО «МАЛВИКЪ»</v>
      </c>
      <c r="J97" s="2">
        <v>0</v>
      </c>
      <c r="K97" s="2"/>
      <c r="L97" s="2"/>
      <c r="M97" s="2"/>
      <c r="N97" s="2"/>
      <c r="O97" s="2"/>
      <c r="P97" s="2"/>
      <c r="Q97" s="2"/>
      <c r="R97" s="2"/>
      <c r="S97" s="2" t="str">
        <f t="shared" si="37"/>
        <v>Декларация о соответствии</v>
      </c>
      <c r="T97" s="2" t="str">
        <f t="shared" ref="T97:T105" si="39">"ЕАЭС N RU Д-RU.РА03.В.63190/23"</f>
        <v>ЕАЭС N RU Д-RU.РА03.В.63190/23</v>
      </c>
      <c r="U97" s="2" t="s">
        <v>114</v>
      </c>
      <c r="V97" s="2" t="str">
        <f t="shared" si="34"/>
        <v>Коробка (UNIT)</v>
      </c>
      <c r="W97" s="2"/>
      <c r="X97" s="2">
        <v>50</v>
      </c>
      <c r="Y97" s="2" t="str">
        <f>"Novexx_Box_Long_80x100.for"</f>
        <v>Novexx_Box_Long_80x100.for</v>
      </c>
    </row>
    <row r="98" spans="1:25" x14ac:dyDescent="0.25">
      <c r="A98" s="2" t="s">
        <v>115</v>
      </c>
      <c r="B98" s="2" t="s">
        <v>116</v>
      </c>
      <c r="C98" s="2" t="str">
        <f t="shared" si="38"/>
        <v>МАЛВИКЪ diet</v>
      </c>
      <c r="D98" s="2" t="str">
        <f>"04607033641222"</f>
        <v>04607033641222</v>
      </c>
      <c r="E98" s="2" t="str">
        <f>"Сладости и кондитерские_x000D_
 изделия (4)"</f>
        <v>Сладости и кондитерские_x000D_
 изделия (4)</v>
      </c>
      <c r="F98" s="2" t="str">
        <f t="shared" si="31"/>
        <v>1704907100</v>
      </c>
      <c r="G98" s="2"/>
      <c r="H98" s="2" t="str">
        <f t="shared" si="36"/>
        <v>ООО «МАЛВИКЪ»</v>
      </c>
      <c r="I98" s="2" t="str">
        <f t="shared" si="35"/>
        <v>ООО «МАЛВИКЪ»</v>
      </c>
      <c r="J98" s="2">
        <v>0</v>
      </c>
      <c r="K98" s="2"/>
      <c r="L98" s="2"/>
      <c r="M98" s="2" t="str">
        <f>"Месяц"</f>
        <v>Месяц</v>
      </c>
      <c r="N98" s="2">
        <v>12</v>
      </c>
      <c r="O98" s="2"/>
      <c r="P98" s="2"/>
      <c r="Q98" s="2"/>
      <c r="R98" s="2"/>
      <c r="S98" s="2" t="str">
        <f t="shared" si="37"/>
        <v>Декларация о соответствии</v>
      </c>
      <c r="T98" s="2" t="str">
        <f t="shared" si="39"/>
        <v>ЕАЭС N RU Д-RU.РА03.В.63190/23</v>
      </c>
      <c r="U98" s="2" t="s">
        <v>114</v>
      </c>
      <c r="V98" s="2" t="str">
        <f t="shared" si="34"/>
        <v>Коробка (UNIT)</v>
      </c>
      <c r="W98" s="2"/>
      <c r="X98" s="2">
        <v>50</v>
      </c>
      <c r="Y98" s="2" t="str">
        <f>"Novexx_Box_Short_80x80 — пакет.for"</f>
        <v>Novexx_Box_Short_80x80 — пакет.for</v>
      </c>
    </row>
    <row r="99" spans="1:25" x14ac:dyDescent="0.25">
      <c r="A99" s="2" t="s">
        <v>117</v>
      </c>
      <c r="B99" s="2" t="s">
        <v>118</v>
      </c>
      <c r="C99" s="2" t="str">
        <f t="shared" si="38"/>
        <v>МАЛВИКЪ diet</v>
      </c>
      <c r="D99" s="2" t="str">
        <f>"04607033642939"</f>
        <v>04607033642939</v>
      </c>
      <c r="E99" s="2" t="str">
        <f t="shared" ref="E99:E106" si="40">"Сладости и кондитерские_x000D_ 
изделия (44)"</f>
        <v>Сладости и кондитерские_x000D_ 
изделия (44)</v>
      </c>
      <c r="F99" s="2" t="str">
        <f t="shared" si="31"/>
        <v>1704907100</v>
      </c>
      <c r="G99" s="2"/>
      <c r="H99" s="2" t="str">
        <f t="shared" si="36"/>
        <v>ООО «МАЛВИКЪ»</v>
      </c>
      <c r="I99" s="2" t="str">
        <f t="shared" si="35"/>
        <v>ООО «МАЛВИКЪ»</v>
      </c>
      <c r="J99" s="2">
        <v>0</v>
      </c>
      <c r="K99" s="2"/>
      <c r="L99" s="2"/>
      <c r="M99" s="2"/>
      <c r="N99" s="2"/>
      <c r="O99" s="2"/>
      <c r="P99" s="2"/>
      <c r="Q99" s="2"/>
      <c r="R99" s="2"/>
      <c r="S99" s="2" t="str">
        <f t="shared" si="37"/>
        <v>Декларация о соответствии</v>
      </c>
      <c r="T99" s="2" t="str">
        <f t="shared" si="39"/>
        <v>ЕАЭС N RU Д-RU.РА03.В.63190/23</v>
      </c>
      <c r="U99" s="2" t="s">
        <v>114</v>
      </c>
      <c r="V99" s="2" t="str">
        <f t="shared" si="34"/>
        <v>Коробка (UNIT)</v>
      </c>
      <c r="W99" s="2"/>
      <c r="X99" s="2">
        <v>50</v>
      </c>
      <c r="Y99" s="2" t="str">
        <f t="shared" ref="Y99:Y106" si="41">"Novexx_Box_Long_80x100.for"</f>
        <v>Novexx_Box_Long_80x100.for</v>
      </c>
    </row>
    <row r="100" spans="1:25" x14ac:dyDescent="0.25">
      <c r="A100" s="2" t="s">
        <v>119</v>
      </c>
      <c r="B100" s="2" t="s">
        <v>120</v>
      </c>
      <c r="C100" s="2" t="str">
        <f t="shared" si="38"/>
        <v>МАЛВИКЪ diet</v>
      </c>
      <c r="D100" s="2" t="str">
        <f>"04607033642908"</f>
        <v>04607033642908</v>
      </c>
      <c r="E100" s="2" t="str">
        <f t="shared" si="40"/>
        <v>Сладости и кондитерские_x000D_ 
изделия (44)</v>
      </c>
      <c r="F100" s="2" t="str">
        <f t="shared" si="31"/>
        <v>1704907100</v>
      </c>
      <c r="G100" s="2"/>
      <c r="H100" s="2" t="str">
        <f t="shared" si="36"/>
        <v>ООО «МАЛВИКЪ»</v>
      </c>
      <c r="I100" s="2" t="str">
        <f t="shared" si="35"/>
        <v>ООО «МАЛВИКЪ»</v>
      </c>
      <c r="J100" s="2">
        <v>0</v>
      </c>
      <c r="K100" s="2"/>
      <c r="L100" s="2"/>
      <c r="M100" s="2"/>
      <c r="N100" s="2"/>
      <c r="O100" s="2"/>
      <c r="P100" s="2"/>
      <c r="Q100" s="2"/>
      <c r="R100" s="2"/>
      <c r="S100" s="2" t="str">
        <f t="shared" si="37"/>
        <v>Декларация о соответствии</v>
      </c>
      <c r="T100" s="2" t="str">
        <f t="shared" si="39"/>
        <v>ЕАЭС N RU Д-RU.РА03.В.63190/23</v>
      </c>
      <c r="U100" s="2" t="s">
        <v>114</v>
      </c>
      <c r="V100" s="2" t="str">
        <f t="shared" si="34"/>
        <v>Коробка (UNIT)</v>
      </c>
      <c r="W100" s="2"/>
      <c r="X100" s="2">
        <v>50</v>
      </c>
      <c r="Y100" s="2" t="str">
        <f t="shared" si="41"/>
        <v>Novexx_Box_Long_80x100.for</v>
      </c>
    </row>
    <row r="101" spans="1:25" x14ac:dyDescent="0.25">
      <c r="A101" s="2" t="s">
        <v>121</v>
      </c>
      <c r="B101" s="2" t="s">
        <v>122</v>
      </c>
      <c r="C101" s="2" t="str">
        <f t="shared" si="38"/>
        <v>МАЛВИКЪ diet</v>
      </c>
      <c r="D101" s="2" t="str">
        <f>"04607033642960"</f>
        <v>04607033642960</v>
      </c>
      <c r="E101" s="2" t="str">
        <f t="shared" si="40"/>
        <v>Сладости и кондитерские_x000D_ 
изделия (44)</v>
      </c>
      <c r="F101" s="2" t="str">
        <f t="shared" si="31"/>
        <v>1704907100</v>
      </c>
      <c r="G101" s="2"/>
      <c r="H101" s="2" t="str">
        <f t="shared" si="36"/>
        <v>ООО «МАЛВИКЪ»</v>
      </c>
      <c r="I101" s="2" t="str">
        <f t="shared" si="35"/>
        <v>ООО «МАЛВИКЪ»</v>
      </c>
      <c r="J101" s="2">
        <v>0</v>
      </c>
      <c r="K101" s="2"/>
      <c r="L101" s="2"/>
      <c r="M101" s="2"/>
      <c r="N101" s="2"/>
      <c r="O101" s="2"/>
      <c r="P101" s="2"/>
      <c r="Q101" s="2"/>
      <c r="R101" s="2"/>
      <c r="S101" s="2" t="str">
        <f t="shared" si="37"/>
        <v>Декларация о соответствии</v>
      </c>
      <c r="T101" s="2" t="str">
        <f t="shared" si="39"/>
        <v>ЕАЭС N RU Д-RU.РА03.В.63190/23</v>
      </c>
      <c r="U101" s="2" t="s">
        <v>114</v>
      </c>
      <c r="V101" s="2" t="str">
        <f t="shared" si="34"/>
        <v>Коробка (UNIT)</v>
      </c>
      <c r="W101" s="2"/>
      <c r="X101" s="2">
        <v>50</v>
      </c>
      <c r="Y101" s="2" t="str">
        <f t="shared" si="41"/>
        <v>Novexx_Box_Long_80x100.for</v>
      </c>
    </row>
    <row r="102" spans="1:25" x14ac:dyDescent="0.25">
      <c r="A102" s="2" t="s">
        <v>123</v>
      </c>
      <c r="B102" s="2" t="s">
        <v>124</v>
      </c>
      <c r="C102" s="2" t="str">
        <f t="shared" si="38"/>
        <v>МАЛВИКЪ diet</v>
      </c>
      <c r="D102" s="2" t="str">
        <f>"04607033642991"</f>
        <v>04607033642991</v>
      </c>
      <c r="E102" s="2" t="str">
        <f t="shared" si="40"/>
        <v>Сладости и кондитерские_x000D_ 
изделия (44)</v>
      </c>
      <c r="F102" s="2" t="str">
        <f t="shared" si="31"/>
        <v>1704907100</v>
      </c>
      <c r="G102" s="2"/>
      <c r="H102" s="2" t="str">
        <f t="shared" si="36"/>
        <v>ООО «МАЛВИКЪ»</v>
      </c>
      <c r="I102" s="2" t="str">
        <f t="shared" si="35"/>
        <v>ООО «МАЛВИКЪ»</v>
      </c>
      <c r="J102" s="2">
        <v>0</v>
      </c>
      <c r="K102" s="2"/>
      <c r="L102" s="2"/>
      <c r="M102" s="2"/>
      <c r="N102" s="2"/>
      <c r="O102" s="2"/>
      <c r="P102" s="2"/>
      <c r="Q102" s="2"/>
      <c r="R102" s="2"/>
      <c r="S102" s="2" t="str">
        <f t="shared" si="37"/>
        <v>Декларация о соответствии</v>
      </c>
      <c r="T102" s="2" t="str">
        <f t="shared" si="39"/>
        <v>ЕАЭС N RU Д-RU.РА03.В.63190/23</v>
      </c>
      <c r="U102" s="2" t="s">
        <v>114</v>
      </c>
      <c r="V102" s="2" t="str">
        <f t="shared" si="34"/>
        <v>Коробка (UNIT)</v>
      </c>
      <c r="W102" s="2"/>
      <c r="X102" s="2">
        <v>50</v>
      </c>
      <c r="Y102" s="2" t="str">
        <f t="shared" si="41"/>
        <v>Novexx_Box_Long_80x100.for</v>
      </c>
    </row>
    <row r="103" spans="1:25" x14ac:dyDescent="0.25">
      <c r="A103" s="2" t="s">
        <v>125</v>
      </c>
      <c r="B103" s="2" t="str">
        <f>"карамель леденцовая без сахара на изомальте малина"</f>
        <v>карамель леденцовая без сахара на изомальте малина</v>
      </c>
      <c r="C103" s="2" t="str">
        <f t="shared" si="38"/>
        <v>МАЛВИКЪ diet</v>
      </c>
      <c r="D103" s="2" t="str">
        <f>"04607033641208"</f>
        <v>04607033641208</v>
      </c>
      <c r="E103" s="2" t="str">
        <f t="shared" si="40"/>
        <v>Сладости и кондитерские_x000D_ 
изделия (44)</v>
      </c>
      <c r="F103" s="2" t="str">
        <f t="shared" si="31"/>
        <v>1704907100</v>
      </c>
      <c r="G103" s="2"/>
      <c r="H103" s="2" t="str">
        <f t="shared" si="36"/>
        <v>ООО «МАЛВИКЪ»</v>
      </c>
      <c r="I103" s="2" t="str">
        <f t="shared" si="35"/>
        <v>ООО «МАЛВИКЪ»</v>
      </c>
      <c r="J103" s="2">
        <v>0</v>
      </c>
      <c r="K103" s="2"/>
      <c r="L103" s="2"/>
      <c r="M103" s="2"/>
      <c r="N103" s="2"/>
      <c r="O103" s="2"/>
      <c r="P103" s="2"/>
      <c r="Q103" s="2"/>
      <c r="R103" s="2"/>
      <c r="S103" s="2" t="str">
        <f t="shared" si="37"/>
        <v>Декларация о соответствии</v>
      </c>
      <c r="T103" s="2" t="str">
        <f t="shared" si="39"/>
        <v>ЕАЭС N RU Д-RU.РА03.В.63190/23</v>
      </c>
      <c r="U103" s="2" t="s">
        <v>114</v>
      </c>
      <c r="V103" s="2" t="str">
        <f t="shared" si="34"/>
        <v>Коробка (UNIT)</v>
      </c>
      <c r="W103" s="2"/>
      <c r="X103" s="2">
        <v>50</v>
      </c>
      <c r="Y103" s="2" t="str">
        <f t="shared" si="41"/>
        <v>Novexx_Box_Long_80x100.for</v>
      </c>
    </row>
    <row r="104" spans="1:25" x14ac:dyDescent="0.25">
      <c r="A104" s="2" t="s">
        <v>126</v>
      </c>
      <c r="B104" s="2" t="s">
        <v>127</v>
      </c>
      <c r="C104" s="2" t="str">
        <f t="shared" si="38"/>
        <v>МАЛВИКЪ diet</v>
      </c>
      <c r="D104" s="2" t="str">
        <f>"04607033641192"</f>
        <v>04607033641192</v>
      </c>
      <c r="E104" s="2" t="str">
        <f t="shared" si="40"/>
        <v>Сладости и кондитерские_x000D_ 
изделия (44)</v>
      </c>
      <c r="F104" s="2" t="str">
        <f t="shared" si="31"/>
        <v>1704907100</v>
      </c>
      <c r="G104" s="2"/>
      <c r="H104" s="2" t="str">
        <f t="shared" si="36"/>
        <v>ООО «МАЛВИКЪ»</v>
      </c>
      <c r="I104" s="2" t="str">
        <f t="shared" si="35"/>
        <v>ООО «МАЛВИКЪ»</v>
      </c>
      <c r="J104" s="2">
        <v>0</v>
      </c>
      <c r="K104" s="2"/>
      <c r="L104" s="2"/>
      <c r="M104" s="2"/>
      <c r="N104" s="2"/>
      <c r="O104" s="2"/>
      <c r="P104" s="2"/>
      <c r="Q104" s="2"/>
      <c r="R104" s="2"/>
      <c r="S104" s="2" t="str">
        <f t="shared" si="37"/>
        <v>Декларация о соответствии</v>
      </c>
      <c r="T104" s="2" t="str">
        <f t="shared" si="39"/>
        <v>ЕАЭС N RU Д-RU.РА03.В.63190/23</v>
      </c>
      <c r="U104" s="2" t="s">
        <v>114</v>
      </c>
      <c r="V104" s="2" t="str">
        <f t="shared" si="34"/>
        <v>Коробка (UNIT)</v>
      </c>
      <c r="W104" s="2"/>
      <c r="X104" s="2">
        <v>50</v>
      </c>
      <c r="Y104" s="2" t="str">
        <f t="shared" si="41"/>
        <v>Novexx_Box_Long_80x100.for</v>
      </c>
    </row>
    <row r="105" spans="1:25" x14ac:dyDescent="0.25">
      <c r="A105" s="2" t="s">
        <v>128</v>
      </c>
      <c r="B105" s="2" t="s">
        <v>129</v>
      </c>
      <c r="C105" s="2" t="str">
        <f t="shared" si="38"/>
        <v>МАЛВИКЪ diet</v>
      </c>
      <c r="D105" s="2" t="str">
        <f>"04607033641215"</f>
        <v>04607033641215</v>
      </c>
      <c r="E105" s="2" t="str">
        <f t="shared" si="40"/>
        <v>Сладости и кондитерские_x000D_ 
изделия (44)</v>
      </c>
      <c r="F105" s="2" t="str">
        <f t="shared" si="31"/>
        <v>1704907100</v>
      </c>
      <c r="G105" s="2"/>
      <c r="H105" s="2" t="str">
        <f t="shared" si="36"/>
        <v>ООО «МАЛВИКЪ»</v>
      </c>
      <c r="I105" s="2" t="str">
        <f t="shared" si="35"/>
        <v>ООО «МАЛВИКЪ»</v>
      </c>
      <c r="J105" s="2">
        <v>0</v>
      </c>
      <c r="K105" s="2"/>
      <c r="L105" s="2"/>
      <c r="M105" s="2"/>
      <c r="N105" s="2"/>
      <c r="O105" s="2"/>
      <c r="P105" s="2"/>
      <c r="Q105" s="2"/>
      <c r="R105" s="2"/>
      <c r="S105" s="2" t="str">
        <f t="shared" si="37"/>
        <v>Декларация о соответствии</v>
      </c>
      <c r="T105" s="2" t="str">
        <f t="shared" si="39"/>
        <v>ЕАЭС N RU Д-RU.РА03.В.63190/23</v>
      </c>
      <c r="U105" s="2" t="s">
        <v>114</v>
      </c>
      <c r="V105" s="2" t="str">
        <f t="shared" si="34"/>
        <v>Коробка (UNIT)</v>
      </c>
      <c r="W105" s="2"/>
      <c r="X105" s="2">
        <v>50</v>
      </c>
      <c r="Y105" s="2" t="str">
        <f t="shared" si="41"/>
        <v>Novexx_Box_Long_80x100.for</v>
      </c>
    </row>
    <row r="106" spans="1:25" x14ac:dyDescent="0.25">
      <c r="A106" s="2" t="s">
        <v>130</v>
      </c>
      <c r="B106" s="2" t="str">
        <f>"Карамель леденцовая фигурная «MIX» ассорти"</f>
        <v>Карамель леденцовая фигурная «MIX» ассорти</v>
      </c>
      <c r="C106" s="2" t="str">
        <f>"нет"</f>
        <v>нет</v>
      </c>
      <c r="D106" s="2" t="str">
        <f>"04607033644810"</f>
        <v>04607033644810</v>
      </c>
      <c r="E106" s="2" t="str">
        <f t="shared" si="40"/>
        <v>Сладости и кондитерские_x000D_ 
изделия (44)</v>
      </c>
      <c r="F106" s="2" t="str">
        <f t="shared" si="31"/>
        <v>1704907100</v>
      </c>
      <c r="G106" s="2"/>
      <c r="H106" s="2" t="str">
        <f t="shared" si="36"/>
        <v>ООО «МАЛВИКЪ»</v>
      </c>
      <c r="I106" s="2" t="str">
        <f t="shared" si="35"/>
        <v>ООО «МАЛВИКЪ»</v>
      </c>
      <c r="J106" s="2">
        <v>0</v>
      </c>
      <c r="K106" s="2"/>
      <c r="L106" s="2"/>
      <c r="M106" s="2"/>
      <c r="N106" s="2"/>
      <c r="O106" s="2"/>
      <c r="P106" s="2"/>
      <c r="Q106" s="2"/>
      <c r="R106" s="2"/>
      <c r="S106" s="2" t="str">
        <f t="shared" si="37"/>
        <v>Декларация о соответствии</v>
      </c>
      <c r="T106" s="2" t="str">
        <f>"ЕАЭС N RU Д-RU.РА01.В.67464/24"</f>
        <v>ЕАЭС N RU Д-RU.РА01.В.67464/24</v>
      </c>
      <c r="U106" s="2" t="s">
        <v>29</v>
      </c>
      <c r="V106" s="2" t="str">
        <f t="shared" si="34"/>
        <v>Коробка (UNIT)</v>
      </c>
      <c r="W106" s="2"/>
      <c r="X106" s="2">
        <v>200</v>
      </c>
      <c r="Y106" s="2" t="str">
        <f t="shared" si="41"/>
        <v>Novexx_Box_Long_80x100.for</v>
      </c>
    </row>
  </sheetData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24E5-FA74-4E6B-B797-F0E60985D9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Товары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 Леонид Владимирович</dc:creator>
  <cp:lastModifiedBy>Афанасьев Леонид Владимирович</cp:lastModifiedBy>
  <dcterms:created xsi:type="dcterms:W3CDTF">2026-09-28T08:24:14Z</dcterms:created>
  <dcterms:modified xsi:type="dcterms:W3CDTF">2026-09-28T08:24:57Z</dcterms:modified>
</cp:coreProperties>
</file>